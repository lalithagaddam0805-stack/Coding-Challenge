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9_{78159F13-CF87-46D5-804A-2979EBB1B267}" xr6:coauthVersionLast="47" xr6:coauthVersionMax="47" xr10:uidLastSave="{00000000-0000-0000-0000-000000000000}"/>
  <bookViews>
    <workbookView xWindow="-110" yWindow="-110" windowWidth="19420" windowHeight="10300" firstSheet="3" activeTab="6" xr2:uid="{A7D6CFDE-F919-4C85-BA69-EF768FD951EF}"/>
  </bookViews>
  <sheets>
    <sheet name="Health by Age" sheetId="2" r:id="rId1"/>
    <sheet name="BMI vs Nutrition" sheetId="3" r:id="rId2"/>
    <sheet name="Sugar &amp; Screen &amp;Region Analysis" sheetId="5" r:id="rId3"/>
    <sheet name="Child_Health_Data" sheetId="1" r:id="rId4"/>
    <sheet name="Dashboard" sheetId="7" r:id="rId5"/>
    <sheet name="Validation" sheetId="8" r:id="rId6"/>
    <sheet name="Summary" sheetId="11" r:id="rId7"/>
  </sheets>
  <definedNames>
    <definedName name="Slicer_Age_Months">#N/A</definedName>
    <definedName name="Slicer_BMI">#N/A</definedName>
    <definedName name="Slicer_Gender">#N/A</definedName>
    <definedName name="Slicer_Health_Status">#N/A</definedName>
    <definedName name="Slicer_Region">#N/A</definedName>
    <definedName name="Slicer_ScreenTime_Hours">#N/A</definedName>
  </definedNames>
  <calcPr calcId="0"/>
  <pivotCaches>
    <pivotCache cacheId="15"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L43" i="1" l="1"/>
  <c r="L101" i="1"/>
  <c r="K2" i="1"/>
  <c r="L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alcChain>
</file>

<file path=xl/sharedStrings.xml><?xml version="1.0" encoding="utf-8"?>
<sst xmlns="http://schemas.openxmlformats.org/spreadsheetml/2006/main" count="353" uniqueCount="142">
  <si>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</si>
  <si>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</si>
  <si>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</si>
  <si>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</si>
  <si>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</si>
  <si>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</si>
  <si>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</si>
  <si>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</si>
  <si>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</si>
  <si>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</si>
  <si>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</si>
  <si>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</si>
  <si>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</si>
  <si>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</si>
  <si>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</si>
  <si>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</si>
  <si>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</si>
  <si>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</si>
  <si>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</si>
  <si>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</si>
  <si>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</si>
  <si>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</si>
  <si>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</si>
  <si>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</si>
  <si>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</si>
  <si>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</si>
  <si>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</si>
  <si>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</si>
  <si>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</si>
  <si>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</si>
  <si>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</si>
  <si>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</si>
  <si>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</si>
  <si>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</si>
  <si>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</si>
  <si>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</si>
  <si>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</si>
  <si>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</si>
  <si>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</si>
  <si>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</si>
  <si>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</si>
  <si>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</si>
  <si>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</si>
  <si>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</si>
  <si>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</si>
  <si>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</si>
  <si>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</si>
  <si>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</si>
  <si>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</si>
  <si>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</si>
  <si>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</si>
  <si>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</si>
  <si>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</si>
  <si>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</si>
  <si>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</si>
  <si>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</si>
  <si>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</si>
  <si>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</si>
  <si>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</si>
  <si>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</si>
  <si>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</si>
  <si>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</si>
  <si>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</si>
  <si>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</si>
  <si>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</si>
  <si>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</si>
  <si>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</si>
  <si>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</si>
  <si>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</si>
  <si>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</si>
  <si>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</si>
  <si>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</si>
  <si>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</si>
  <si>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</si>
  <si>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</si>
  <si>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</si>
  <si>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</si>
  <si>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</si>
  <si>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</si>
  <si>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</si>
  <si>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</si>
  <si>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</si>
  <si>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</si>
  <si>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</si>
  <si>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</si>
  <si>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</si>
  <si>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</si>
  <si>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</si>
  <si>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</si>
  <si>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</si>
  <si>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</si>
  <si>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</si>
  <si>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</si>
  <si>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</si>
  <si>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</si>
  <si>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</si>
  <si>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</si>
  <si>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</si>
  <si>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</si>
  <si>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</si>
  <si>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</si>
  <si>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</si>
  <si>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</si>
  <si>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</si>
  <si>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</si>
  <si>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</si>
  <si>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</si>
  <si>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</si>
  <si>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</si>
  <si>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</si>
  <si>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</si>
  <si>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</si>
  <si>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</si>
  <si>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</si>
  <si>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</si>
  <si>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</si>
  <si>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</si>
  <si>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</si>
  <si>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Health_Status</t>
  </si>
  <si>
    <t>Row Labels</t>
  </si>
  <si>
    <t>Grand Total</t>
  </si>
  <si>
    <t>Age_Month</t>
  </si>
  <si>
    <t>Healthy Weight</t>
  </si>
  <si>
    <t>Underweight</t>
  </si>
  <si>
    <t>Count of Health_Status</t>
  </si>
  <si>
    <t>Average of BMI</t>
  </si>
  <si>
    <t>Daily_Fruit_Serving</t>
  </si>
  <si>
    <t>Daily_Veggie_Serving</t>
  </si>
  <si>
    <t>Average of Daily_Sugar_Drinks</t>
  </si>
  <si>
    <t>Average of ScreenTime_Hours</t>
  </si>
  <si>
    <t>Average of Daily_Fruit_Servings</t>
  </si>
  <si>
    <t>Executive Summary</t>
  </si>
  <si>
    <t>Recommendations</t>
  </si>
  <si>
    <t>Overall, promoting balanced nutrition and active lifestyles is essential for improving child growth and long-term well-being.</t>
  </si>
  <si>
    <t>This analysis examined the relationship between food habits and child growth patterns.</t>
  </si>
  <si>
    <t>The data shows a clear connection between unhealthy dietary habits and increased BMI levels among children.</t>
  </si>
  <si>
    <t>Children with higher consumption of sugary drinks and junk food tend to have higher BMI and lower overall health scores.</t>
  </si>
  <si>
    <t>Additionally, regions with limited participation in physical activities show lower growth performance compared to others.</t>
  </si>
  <si>
    <t>A strong correlation was observed between screen time, poor eating habits, and reduced academic performance.</t>
  </si>
  <si>
    <t>On the other hand, students engaged in extracurricular activities and balanced diets demonstrated better health and academic outcomes.</t>
  </si>
  <si>
    <t>Targeted interventions should be implemented to reduce sugary drink consumption, especially in high-risk regions where BMI levels are elevated.</t>
  </si>
  <si>
    <t>Schools and parents should encourage participation in extracurricular and physical activities to improve both health and academic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</si>
</sst>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4"/>
      <color rgb="FFFF0000"/>
      <name val="Calibri"/>
      <family val="2"/>
      <scheme val="minor"/>
    </font>
    <font>
      <b/>
      <u/>
      <sz val="16"/>
      <color rgb="FFFF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33" borderId="10" xfId="0" applyFill="1" applyBorder="1"/>
    <xf numFmtId="0" fontId="1" fillId="14" borderId="10" xfId="23" applyBorder="1"/>
    <xf numFmtId="0" fontId="1" fillId="34" borderId="10" xfId="23" applyFill="1" applyBorder="1"/>
    <xf numFmtId="0" fontId="0" fillId="0" borderId="0" xfId="0" pivotButton="1"/>
    <xf numFmtId="0" fontId="0" fillId="0" borderId="0" xfId="0" applyAlignment="1">
      <alignment horizontal="left"/>
    </xf>
    <xf numFmtId="0" fontId="0" fillId="0" borderId="0" xfId="0" applyNumberFormat="1"/>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0" fontId="0" fillId="34" borderId="10" xfId="0" applyFill="1" applyBorder="1"/>
    <xf numFmtId="0" fontId="0" fillId="35" borderId="10" xfId="0" applyFill="1" applyBorder="1"/>
    <xf numFmtId="0" fontId="0" fillId="36" borderId="10" xfId="0" applyFill="1" applyBorder="1"/>
    <xf numFmtId="0" fontId="0" fillId="0" borderId="11" xfId="0" pivotButton="1" applyBorder="1"/>
    <xf numFmtId="0" fontId="0" fillId="0" borderId="13" xfId="0" applyBorder="1"/>
    <xf numFmtId="0" fontId="0" fillId="0" borderId="14" xfId="0" applyBorder="1" applyAlignment="1">
      <alignment horizontal="left"/>
    </xf>
    <xf numFmtId="0" fontId="0" fillId="0" borderId="15" xfId="0" applyNumberFormat="1" applyBorder="1"/>
    <xf numFmtId="0" fontId="0" fillId="0" borderId="16" xfId="0" applyBorder="1" applyAlignment="1">
      <alignment horizontal="left"/>
    </xf>
    <xf numFmtId="0" fontId="0" fillId="0" borderId="17" xfId="0" applyNumberFormat="1" applyBorder="1"/>
    <xf numFmtId="0" fontId="0" fillId="0" borderId="18" xfId="0" applyNumberFormat="1" applyBorder="1"/>
    <xf numFmtId="0" fontId="0" fillId="0" borderId="12" xfId="0" pivotButton="1" applyBorder="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[Child_Health_Data.csv.xlsx]Health by Age!PivotTable1</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by Age'!$B$3:$B$4</c:f>
              <c:strCache>
                <c:ptCount val="1"/>
                <c:pt idx="0">
                  <c:v>Healthy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by Age'!$A$5:$A$39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'Health by Age'!$B$5:$B$39</c:f>
              <c:numCache>
                <c:formatCode>General</c:formatCode>
                <c:ptCount val="34"/>
                <c:pt idx="0">
                  <c:v>1</c:v>
                </c:pt>
                <c:pt idx="3">
                  <c:v>1</c:v>
                </c:pt>
                <c:pt idx="6">
                  <c:v>1</c:v>
                </c:pt>
                <c:pt idx="7">
                  <c:v>1</c:v>
                </c:pt>
                <c:pt idx="10">
                  <c:v>2</c:v>
                </c:pt>
                <c:pt idx="12">
                  <c:v>1</c:v>
                </c:pt>
                <c:pt idx="13">
                  <c:v>2</c:v>
                </c:pt>
                <c:pt idx="17">
                  <c:v>1</c:v>
                </c:pt>
                <c:pt idx="18">
                  <c:v>1</c:v>
                </c:pt>
                <c:pt idx="19">
                  <c:v>1</c:v>
                </c:pt>
                <c:pt idx="21">
                  <c:v>1</c:v>
                </c:pt>
                <c:pt idx="22">
                  <c:v>1</c:v>
                </c:pt>
                <c:pt idx="23">
                  <c:v>1</c:v>
                </c:pt>
                <c:pt idx="24">
                  <c:v>2</c:v>
                </c:pt>
                <c:pt idx="26">
                  <c:v>2</c:v>
                </c:pt>
                <c:pt idx="27">
                  <c:v>1</c:v>
                </c:pt>
                <c:pt idx="30">
                  <c:v>2</c:v>
                </c:pt>
                <c:pt idx="32">
                  <c:v>1</c:v>
                </c:pt>
                <c:pt idx="33">
                  <c:v>1</c:v>
                </c:pt>
              </c:numCache>
            </c:numRef>
          </c:val>
          <c:extLst>
            <c:ext xmlns:c16="http://schemas.microsoft.com/office/drawing/2014/chart" uri="{C3380CC4-5D6E-409C-BE32-E72D297353CC}">
              <c16:uniqueId val="{00000000-8116-45BB-B8AD-1B8C373C6A20}"/>
            </c:ext>
          </c:extLst>
        </c:ser>
        <c:ser>
          <c:idx val="1"/>
          <c:order val="1"/>
          <c:tx>
            <c:strRef>
              <c:f>'Health by Age'!$C$3:$C$4</c:f>
              <c:strCache>
                <c:ptCount val="1"/>
                <c:pt idx="0">
                  <c:v>Underweight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by Age'!$A$5:$A$39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'Health by Age'!$C$5:$C$39</c:f>
              <c:numCache>
                <c:formatCode>General</c:formatCode>
                <c:ptCount val="34"/>
                <c:pt idx="0">
                  <c:v>5</c:v>
                </c:pt>
                <c:pt idx="1">
                  <c:v>2</c:v>
                </c:pt>
                <c:pt idx="2">
                  <c:v>3</c:v>
                </c:pt>
                <c:pt idx="3">
                  <c:v>2</c:v>
                </c:pt>
                <c:pt idx="4">
                  <c:v>2</c:v>
                </c:pt>
                <c:pt idx="5">
                  <c:v>4</c:v>
                </c:pt>
                <c:pt idx="6">
                  <c:v>1</c:v>
                </c:pt>
                <c:pt idx="7">
                  <c:v>5</c:v>
                </c:pt>
                <c:pt idx="8">
                  <c:v>1</c:v>
                </c:pt>
                <c:pt idx="9">
                  <c:v>5</c:v>
                </c:pt>
                <c:pt idx="10">
                  <c:v>2</c:v>
                </c:pt>
                <c:pt idx="11">
                  <c:v>1</c:v>
                </c:pt>
                <c:pt idx="12">
                  <c:v>3</c:v>
                </c:pt>
                <c:pt idx="14">
                  <c:v>2</c:v>
                </c:pt>
                <c:pt idx="15">
                  <c:v>1</c:v>
                </c:pt>
                <c:pt idx="16">
                  <c:v>2</c:v>
                </c:pt>
                <c:pt idx="17">
                  <c:v>1</c:v>
                </c:pt>
                <c:pt idx="18">
                  <c:v>2</c:v>
                </c:pt>
                <c:pt idx="19">
                  <c:v>3</c:v>
                </c:pt>
                <c:pt idx="20">
                  <c:v>5</c:v>
                </c:pt>
                <c:pt idx="21">
                  <c:v>1</c:v>
                </c:pt>
                <c:pt idx="22">
                  <c:v>2</c:v>
                </c:pt>
                <c:pt idx="23">
                  <c:v>3</c:v>
                </c:pt>
                <c:pt idx="24">
                  <c:v>1</c:v>
                </c:pt>
                <c:pt idx="25">
                  <c:v>1</c:v>
                </c:pt>
                <c:pt idx="26">
                  <c:v>3</c:v>
                </c:pt>
                <c:pt idx="27">
                  <c:v>1</c:v>
                </c:pt>
                <c:pt idx="28">
                  <c:v>2</c:v>
                </c:pt>
                <c:pt idx="29">
                  <c:v>1</c:v>
                </c:pt>
                <c:pt idx="30">
                  <c:v>4</c:v>
                </c:pt>
                <c:pt idx="31">
                  <c:v>4</c:v>
                </c:pt>
                <c:pt idx="33">
                  <c:v>1</c:v>
                </c:pt>
              </c:numCache>
            </c:numRef>
          </c:val>
          <c:extLst>
            <c:ext xmlns:c16="http://schemas.microsoft.com/office/drawing/2014/chart" uri="{C3380CC4-5D6E-409C-BE32-E72D297353CC}">
              <c16:uniqueId val="{00000004-8116-45BB-B8AD-1B8C373C6A20}"/>
            </c:ext>
          </c:extLst>
        </c:ser>
        <c:dLbls>
          <c:dLblPos val="outEnd"/>
          <c:showLegendKey val="0"/>
          <c:showVal val="1"/>
          <c:showCatName val="0"/>
          <c:showSerName val="0"/>
          <c:showPercent val="0"/>
          <c:showBubbleSize val="0"/>
        </c:dLbls>
        <c:gapWidth val="100"/>
        <c:overlap val="-24"/>
        <c:axId val="812721088"/>
        <c:axId val="812719648"/>
      </c:barChart>
      <c:catAx>
        <c:axId val="812721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9648"/>
        <c:crosses val="autoZero"/>
        <c:auto val="1"/>
        <c:lblAlgn val="ctr"/>
        <c:lblOffset val="100"/>
        <c:noMultiLvlLbl val="0"/>
      </c:catAx>
      <c:valAx>
        <c:axId val="81271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2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[Child_Health_Data.csv.xlsx]BMI vs Nutrition!PivotTable2</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'BMI vs Nutrition'!$B$3:$B$4</c:f>
              <c:strCache>
                <c:ptCount val="1"/>
                <c:pt idx="0">
                  <c:v>0</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Nutrition'!$B$5:$B$10</c:f>
              <c:numCache>
                <c:formatCode>General</c:formatCode>
                <c:ptCount val="5"/>
                <c:pt idx="0">
                  <c:v>19.016420427584645</c:v>
                </c:pt>
                <c:pt idx="1">
                  <c:v>16.35248862763348</c:v>
                </c:pt>
                <c:pt idx="2">
                  <c:v>18.304030863042058</c:v>
                </c:pt>
                <c:pt idx="3">
                  <c:v>18.791232347431109</c:v>
                </c:pt>
                <c:pt idx="4">
                  <c:v>17.326942725016981</c:v>
                </c:pt>
              </c:numCache>
            </c:numRef>
          </c:val>
          <c:extLst>
            <c:ext xmlns:c16="http://schemas.microsoft.com/office/drawing/2014/chart" uri="{C3380CC4-5D6E-409C-BE32-E72D297353CC}">
              <c16:uniqueId val="{00000000-8A46-4C1F-8128-0DFABA1C03FF}"/>
            </c:ext>
          </c:extLst>
        </c:ser>
        <c:ser>
          <c:idx val="1"/>
          <c:order val="1"/>
          <c:tx>
            <c:strRef>
              <c:f>'BMI vs Nutrition'!$C$3:$C$4</c:f>
              <c:strCache>
                <c:ptCount val="1"/>
                <c:pt idx="0">
                  <c:v>1</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Nutrition'!$C$5:$C$10</c:f>
              <c:numCache>
                <c:formatCode>General</c:formatCode>
                <c:ptCount val="5"/>
                <c:pt idx="0">
                  <c:v>17.280117596560103</c:v>
                </c:pt>
                <c:pt idx="1">
                  <c:v>16.201722814253078</c:v>
                </c:pt>
                <c:pt idx="2">
                  <c:v>13.414804870225169</c:v>
                </c:pt>
                <c:pt idx="3">
                  <c:v>15.547827345547695</c:v>
                </c:pt>
                <c:pt idx="4">
                  <c:v>16.827714126941665</c:v>
                </c:pt>
              </c:numCache>
            </c:numRef>
          </c:val>
          <c:extLst>
            <c:ext xmlns:c16="http://schemas.microsoft.com/office/drawing/2014/chart" uri="{C3380CC4-5D6E-409C-BE32-E72D297353CC}">
              <c16:uniqueId val="{00000014-8A46-4C1F-8128-0DFABA1C03FF}"/>
            </c:ext>
          </c:extLst>
        </c:ser>
        <c:ser>
          <c:idx val="2"/>
          <c:order val="2"/>
          <c:tx>
            <c:strRef>
              <c:f>'BMI vs Nutrition'!$D$3:$D$4</c:f>
              <c:strCache>
                <c:ptCount val="1"/>
                <c:pt idx="0">
                  <c:v>2</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Nutrition'!$D$5:$D$10</c:f>
              <c:numCache>
                <c:formatCode>General</c:formatCode>
                <c:ptCount val="5"/>
                <c:pt idx="0">
                  <c:v>16.27305047255906</c:v>
                </c:pt>
                <c:pt idx="1">
                  <c:v>17.145357431721354</c:v>
                </c:pt>
                <c:pt idx="2">
                  <c:v>17.219114471226323</c:v>
                </c:pt>
                <c:pt idx="3">
                  <c:v>18.37904051788599</c:v>
                </c:pt>
                <c:pt idx="4">
                  <c:v>16.79563742079436</c:v>
                </c:pt>
              </c:numCache>
            </c:numRef>
          </c:val>
          <c:extLst>
            <c:ext xmlns:c16="http://schemas.microsoft.com/office/drawing/2014/chart" uri="{C3380CC4-5D6E-409C-BE32-E72D297353CC}">
              <c16:uniqueId val="{00000015-8A46-4C1F-8128-0DFABA1C03FF}"/>
            </c:ext>
          </c:extLst>
        </c:ser>
        <c:ser>
          <c:idx val="3"/>
          <c:order val="3"/>
          <c:tx>
            <c:strRef>
              <c:f>'BMI vs Nutrition'!$E$3:$E$4</c:f>
              <c:strCache>
                <c:ptCount val="1"/>
                <c:pt idx="0">
                  <c:v>3</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Nutrition'!$E$5:$E$10</c:f>
              <c:numCache>
                <c:formatCode>General</c:formatCode>
                <c:ptCount val="5"/>
                <c:pt idx="0">
                  <c:v>17.104134635526798</c:v>
                </c:pt>
                <c:pt idx="1">
                  <c:v>15.486892118792989</c:v>
                </c:pt>
                <c:pt idx="3">
                  <c:v>19.105850849662808</c:v>
                </c:pt>
                <c:pt idx="4">
                  <c:v>16.427913820241738</c:v>
                </c:pt>
              </c:numCache>
            </c:numRef>
          </c:val>
          <c:extLst>
            <c:ext xmlns:c16="http://schemas.microsoft.com/office/drawing/2014/chart" uri="{C3380CC4-5D6E-409C-BE32-E72D297353CC}">
              <c16:uniqueId val="{00000016-8A46-4C1F-8128-0DFABA1C03FF}"/>
            </c:ext>
          </c:extLst>
        </c:ser>
        <c:ser>
          <c:idx val="4"/>
          <c:order val="4"/>
          <c:tx>
            <c:strRef>
              <c:f>'BMI vs Nutrition'!$F$3:$F$4</c:f>
              <c:strCache>
                <c:ptCount val="1"/>
                <c:pt idx="0">
                  <c:v>4</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Nutrition'!$F$5:$F$10</c:f>
              <c:numCache>
                <c:formatCode>General</c:formatCode>
                <c:ptCount val="5"/>
                <c:pt idx="0">
                  <c:v>18.137073212360072</c:v>
                </c:pt>
                <c:pt idx="1">
                  <c:v>17.548662976364966</c:v>
                </c:pt>
                <c:pt idx="2">
                  <c:v>17.104693630968079</c:v>
                </c:pt>
                <c:pt idx="3">
                  <c:v>15.747317770125974</c:v>
                </c:pt>
                <c:pt idx="4">
                  <c:v>20.023541521230683</c:v>
                </c:pt>
              </c:numCache>
            </c:numRef>
          </c:val>
          <c:extLst>
            <c:ext xmlns:c16="http://schemas.microsoft.com/office/drawing/2014/chart" uri="{C3380CC4-5D6E-409C-BE32-E72D297353CC}">
              <c16:uniqueId val="{00000017-8A46-4C1F-8128-0DFABA1C03F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[Child_Health_Data.csv.xlsx]Sugar &amp; Screen &amp;Region Analysis!PivotTable4</c:name>
    <c:fmtId val="6"/>
  </c:pivotSource>
  <c:chart>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'Sugar &amp; Screen &amp;Region Analysis'!$B$3</c:f>
              <c:strCache>
                <c:ptCount val="1"/>
                <c:pt idx="0">
                  <c:v>Average of Daily_Sugar_Drinks</c:v>
                </c:pt>
              </c:strCache>
            </c:strRef>
          </c:tx>
          <c:spPr>
            <a:solidFill>
              <a:schemeClr val="accent1"/>
            </a:solidFill>
            <a:ln>
              <a:noFill/>
            </a:ln>
            <a:effectLst/>
            <a:sp3d/>
          </c:spPr>
          <c:invertIfNegative val="0"/>
          <c:cat>
            <c:strRef>
              <c:f>'Sugar &amp; Screen &amp;Region Analysis'!$A$4:$A$6</c:f>
              <c:strCache>
                <c:ptCount val="2"/>
                <c:pt idx="0">
                  <c:v>Healthy Weight</c:v>
                </c:pt>
                <c:pt idx="1">
                  <c:v>Underweight</c:v>
                </c:pt>
              </c:strCache>
            </c:strRef>
          </c:cat>
          <c:val>
            <c:numRef>
              <c:f>'Sugar &amp; Screen &amp;Region Analysis'!$B$4:$B$6</c:f>
              <c:numCache>
                <c:formatCode>General</c:formatCode>
                <c:ptCount val="2"/>
                <c:pt idx="0">
                  <c:v>1.5833333333333333</c:v>
                </c:pt>
                <c:pt idx="1">
                  <c:v>1.3026315789473684</c:v>
                </c:pt>
              </c:numCache>
            </c:numRef>
          </c:val>
          <c:extLst>
            <c:ext xmlns:c16="http://schemas.microsoft.com/office/drawing/2014/chart" uri="{C3380CC4-5D6E-409C-BE32-E72D297353CC}">
              <c16:uniqueId val="{00000000-1113-47F5-97AA-0B5730B03E99}"/>
            </c:ext>
          </c:extLst>
        </c:ser>
        <c:ser>
          <c:idx val="1"/>
          <c:order val="1"/>
          <c:tx>
            <c:strRef>
              <c:f>'Sugar &amp; Screen &amp;Region Analysis'!$C$3</c:f>
              <c:strCache>
                <c:ptCount val="1"/>
                <c:pt idx="0">
                  <c:v>Average of ScreenTime_Hours</c:v>
                </c:pt>
              </c:strCache>
            </c:strRef>
          </c:tx>
          <c:spPr>
            <a:solidFill>
              <a:schemeClr val="accent2"/>
            </a:solidFill>
            <a:ln>
              <a:noFill/>
            </a:ln>
            <a:effectLst/>
            <a:sp3d/>
          </c:spPr>
          <c:invertIfNegative val="0"/>
          <c:cat>
            <c:strRef>
              <c:f>'Sugar &amp; Screen &amp;Region Analysis'!$A$4:$A$6</c:f>
              <c:strCache>
                <c:ptCount val="2"/>
                <c:pt idx="0">
                  <c:v>Healthy Weight</c:v>
                </c:pt>
                <c:pt idx="1">
                  <c:v>Underweight</c:v>
                </c:pt>
              </c:strCache>
            </c:strRef>
          </c:cat>
          <c:val>
            <c:numRef>
              <c:f>'Sugar &amp; Screen &amp;Region Analysis'!$C$4:$C$6</c:f>
              <c:numCache>
                <c:formatCode>General</c:formatCode>
                <c:ptCount val="2"/>
                <c:pt idx="0">
                  <c:v>1.6875000000000002</c:v>
                </c:pt>
                <c:pt idx="1">
                  <c:v>1.2986842105263157</c:v>
                </c:pt>
              </c:numCache>
            </c:numRef>
          </c:val>
          <c:extLst>
            <c:ext xmlns:c16="http://schemas.microsoft.com/office/drawing/2014/chart" uri="{C3380CC4-5D6E-409C-BE32-E72D297353CC}">
              <c16:uniqueId val="{00000001-1113-47F5-97AA-0B5730B03E99}"/>
            </c:ext>
          </c:extLst>
        </c:ser>
        <c:dLbls>
          <c:showLegendKey val="0"/>
          <c:showVal val="0"/>
          <c:showCatName val="0"/>
          <c:showSerName val="0"/>
          <c:showPercent val="0"/>
          <c:showBubbleSize val="0"/>
        </c:dLbls>
        <c:gapWidth val="150"/>
        <c:shape val="box"/>
        <c:axId val="582496976"/>
        <c:axId val="582484016"/>
        <c:axId val="0"/>
      </c:bar3DChart>
      <c:catAx>
        <c:axId val="58249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84016"/>
        <c:crosses val="autoZero"/>
        <c:auto val="1"/>
        <c:lblAlgn val="ctr"/>
        <c:lblOffset val="100"/>
        <c:noMultiLvlLbl val="0"/>
      </c:catAx>
      <c:valAx>
        <c:axId val="58248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9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[Child_Health_Data.csv.xlsx]Sugar &amp; Screen &amp;Region Analysis!PivotTable6</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'Sugar &amp; Screen &amp;Region Analysis'!$F$3</c:f>
              <c:strCache>
                <c:ptCount val="1"/>
                <c:pt idx="0">
                  <c:v>Average of BMI</c:v>
                </c:pt>
              </c:strCache>
            </c:strRef>
          </c:tx>
          <c:spPr>
            <a:solidFill>
              <a:schemeClr val="accent1"/>
            </a:solidFill>
            <a:ln>
              <a:noFill/>
            </a:ln>
            <a:effectLst/>
            <a:sp3d/>
          </c:spPr>
          <c:invertIfNegative val="0"/>
          <c:cat>
            <c:strRef>
              <c:f>'Sugar &amp; Screen &amp;Region Analysis'!$E$4:$E$9</c:f>
              <c:strCache>
                <c:ptCount val="5"/>
                <c:pt idx="0">
                  <c:v>Central</c:v>
                </c:pt>
                <c:pt idx="1">
                  <c:v>East</c:v>
                </c:pt>
                <c:pt idx="2">
                  <c:v>North</c:v>
                </c:pt>
                <c:pt idx="3">
                  <c:v>South</c:v>
                </c:pt>
                <c:pt idx="4">
                  <c:v>West</c:v>
                </c:pt>
              </c:strCache>
            </c:strRef>
          </c:cat>
          <c:val>
            <c:numRef>
              <c:f>'Sugar &amp; Screen &amp;Region Analysis'!$F$4:$F$9</c:f>
              <c:numCache>
                <c:formatCode>General</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9F5B-4566-A1F1-5B7F2913D417}"/>
            </c:ext>
          </c:extLst>
        </c:ser>
        <c:ser>
          <c:idx val="1"/>
          <c:order val="1"/>
          <c:tx>
            <c:strRef>
              <c:f>'Sugar &amp; Screen &amp;Region Analysis'!$G$3</c:f>
              <c:strCache>
                <c:ptCount val="1"/>
                <c:pt idx="0">
                  <c:v>Average of Daily_Fruit_Servings</c:v>
                </c:pt>
              </c:strCache>
            </c:strRef>
          </c:tx>
          <c:spPr>
            <a:solidFill>
              <a:schemeClr val="accent2"/>
            </a:solidFill>
            <a:ln>
              <a:noFill/>
            </a:ln>
            <a:effectLst/>
            <a:sp3d/>
          </c:spPr>
          <c:invertIfNegative val="0"/>
          <c:cat>
            <c:strRef>
              <c:f>'Sugar &amp; Screen &amp;Region Analysis'!$E$4:$E$9</c:f>
              <c:strCache>
                <c:ptCount val="5"/>
                <c:pt idx="0">
                  <c:v>Central</c:v>
                </c:pt>
                <c:pt idx="1">
                  <c:v>East</c:v>
                </c:pt>
                <c:pt idx="2">
                  <c:v>North</c:v>
                </c:pt>
                <c:pt idx="3">
                  <c:v>South</c:v>
                </c:pt>
                <c:pt idx="4">
                  <c:v>West</c:v>
                </c:pt>
              </c:strCache>
            </c:strRef>
          </c:cat>
          <c:val>
            <c:numRef>
              <c:f>'Sugar &amp; Screen &amp;Region Analysis'!$G$4:$G$9</c:f>
              <c:numCache>
                <c:formatCode>General</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9F5B-4566-A1F1-5B7F2913D417}"/>
            </c:ext>
          </c:extLst>
        </c:ser>
        <c:dLbls>
          <c:showLegendKey val="0"/>
          <c:showVal val="0"/>
          <c:showCatName val="0"/>
          <c:showSerName val="0"/>
          <c:showPercent val="0"/>
          <c:showBubbleSize val="0"/>
        </c:dLbls>
        <c:gapWidth val="150"/>
        <c:shape val="box"/>
        <c:axId val="812703328"/>
        <c:axId val="812710048"/>
        <c:axId val="0"/>
      </c:bar3DChart>
      <c:catAx>
        <c:axId val="81270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0048"/>
        <c:crosses val="autoZero"/>
        <c:auto val="1"/>
        <c:lblAlgn val="ctr"/>
        <c:lblOffset val="100"/>
        <c:noMultiLvlLbl val="0"/>
      </c:catAx>
      <c:valAx>
        <c:axId val="81271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0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[Child_Health_Data.csv.xlsx]Health by Age!PivotTable1</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60566004378964E-2"/>
          <c:y val="0.18369669109280415"/>
          <c:w val="0.61219126106645994"/>
          <c:h val="0.57365709344135452"/>
        </c:manualLayout>
      </c:layout>
      <c:barChart>
        <c:barDir val="col"/>
        <c:grouping val="clustered"/>
        <c:varyColors val="0"/>
        <c:ser>
          <c:idx val="0"/>
          <c:order val="0"/>
          <c:tx>
            <c:strRef>
              <c:f>'Health by Age'!$B$3:$B$4</c:f>
              <c:strCache>
                <c:ptCount val="1"/>
                <c:pt idx="0">
                  <c:v>Healthy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by Age'!$A$5:$A$39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'Health by Age'!$B$5:$B$39</c:f>
              <c:numCache>
                <c:formatCode>General</c:formatCode>
                <c:ptCount val="34"/>
                <c:pt idx="0">
                  <c:v>1</c:v>
                </c:pt>
                <c:pt idx="3">
                  <c:v>1</c:v>
                </c:pt>
                <c:pt idx="6">
                  <c:v>1</c:v>
                </c:pt>
                <c:pt idx="7">
                  <c:v>1</c:v>
                </c:pt>
                <c:pt idx="10">
                  <c:v>2</c:v>
                </c:pt>
                <c:pt idx="12">
                  <c:v>1</c:v>
                </c:pt>
                <c:pt idx="13">
                  <c:v>2</c:v>
                </c:pt>
                <c:pt idx="17">
                  <c:v>1</c:v>
                </c:pt>
                <c:pt idx="18">
                  <c:v>1</c:v>
                </c:pt>
                <c:pt idx="19">
                  <c:v>1</c:v>
                </c:pt>
                <c:pt idx="21">
                  <c:v>1</c:v>
                </c:pt>
                <c:pt idx="22">
                  <c:v>1</c:v>
                </c:pt>
                <c:pt idx="23">
                  <c:v>1</c:v>
                </c:pt>
                <c:pt idx="24">
                  <c:v>2</c:v>
                </c:pt>
                <c:pt idx="26">
                  <c:v>2</c:v>
                </c:pt>
                <c:pt idx="27">
                  <c:v>1</c:v>
                </c:pt>
                <c:pt idx="30">
                  <c:v>2</c:v>
                </c:pt>
                <c:pt idx="32">
                  <c:v>1</c:v>
                </c:pt>
                <c:pt idx="33">
                  <c:v>1</c:v>
                </c:pt>
              </c:numCache>
            </c:numRef>
          </c:val>
          <c:extLst>
            <c:ext xmlns:c16="http://schemas.microsoft.com/office/drawing/2014/chart" uri="{C3380CC4-5D6E-409C-BE32-E72D297353CC}">
              <c16:uniqueId val="{00000000-DBF5-491B-8D17-7AE714179D98}"/>
            </c:ext>
          </c:extLst>
        </c:ser>
        <c:ser>
          <c:idx val="1"/>
          <c:order val="1"/>
          <c:tx>
            <c:strRef>
              <c:f>'Health by Age'!$C$3:$C$4</c:f>
              <c:strCache>
                <c:ptCount val="1"/>
                <c:pt idx="0">
                  <c:v>Underweight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 by Age'!$A$5:$A$39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'Health by Age'!$C$5:$C$39</c:f>
              <c:numCache>
                <c:formatCode>General</c:formatCode>
                <c:ptCount val="34"/>
                <c:pt idx="0">
                  <c:v>5</c:v>
                </c:pt>
                <c:pt idx="1">
                  <c:v>2</c:v>
                </c:pt>
                <c:pt idx="2">
                  <c:v>3</c:v>
                </c:pt>
                <c:pt idx="3">
                  <c:v>2</c:v>
                </c:pt>
                <c:pt idx="4">
                  <c:v>2</c:v>
                </c:pt>
                <c:pt idx="5">
                  <c:v>4</c:v>
                </c:pt>
                <c:pt idx="6">
                  <c:v>1</c:v>
                </c:pt>
                <c:pt idx="7">
                  <c:v>5</c:v>
                </c:pt>
                <c:pt idx="8">
                  <c:v>1</c:v>
                </c:pt>
                <c:pt idx="9">
                  <c:v>5</c:v>
                </c:pt>
                <c:pt idx="10">
                  <c:v>2</c:v>
                </c:pt>
                <c:pt idx="11">
                  <c:v>1</c:v>
                </c:pt>
                <c:pt idx="12">
                  <c:v>3</c:v>
                </c:pt>
                <c:pt idx="14">
                  <c:v>2</c:v>
                </c:pt>
                <c:pt idx="15">
                  <c:v>1</c:v>
                </c:pt>
                <c:pt idx="16">
                  <c:v>2</c:v>
                </c:pt>
                <c:pt idx="17">
                  <c:v>1</c:v>
                </c:pt>
                <c:pt idx="18">
                  <c:v>2</c:v>
                </c:pt>
                <c:pt idx="19">
                  <c:v>3</c:v>
                </c:pt>
                <c:pt idx="20">
                  <c:v>5</c:v>
                </c:pt>
                <c:pt idx="21">
                  <c:v>1</c:v>
                </c:pt>
                <c:pt idx="22">
                  <c:v>2</c:v>
                </c:pt>
                <c:pt idx="23">
                  <c:v>3</c:v>
                </c:pt>
                <c:pt idx="24">
                  <c:v>1</c:v>
                </c:pt>
                <c:pt idx="25">
                  <c:v>1</c:v>
                </c:pt>
                <c:pt idx="26">
                  <c:v>3</c:v>
                </c:pt>
                <c:pt idx="27">
                  <c:v>1</c:v>
                </c:pt>
                <c:pt idx="28">
                  <c:v>2</c:v>
                </c:pt>
                <c:pt idx="29">
                  <c:v>1</c:v>
                </c:pt>
                <c:pt idx="30">
                  <c:v>4</c:v>
                </c:pt>
                <c:pt idx="31">
                  <c:v>4</c:v>
                </c:pt>
                <c:pt idx="33">
                  <c:v>1</c:v>
                </c:pt>
              </c:numCache>
            </c:numRef>
          </c:val>
          <c:extLst>
            <c:ext xmlns:c16="http://schemas.microsoft.com/office/drawing/2014/chart" uri="{C3380CC4-5D6E-409C-BE32-E72D297353CC}">
              <c16:uniqueId val="{00000004-DBF5-491B-8D17-7AE714179D98}"/>
            </c:ext>
          </c:extLst>
        </c:ser>
        <c:dLbls>
          <c:dLblPos val="outEnd"/>
          <c:showLegendKey val="0"/>
          <c:showVal val="1"/>
          <c:showCatName val="0"/>
          <c:showSerName val="0"/>
          <c:showPercent val="0"/>
          <c:showBubbleSize val="0"/>
        </c:dLbls>
        <c:gapWidth val="100"/>
        <c:overlap val="-24"/>
        <c:axId val="812721088"/>
        <c:axId val="812719648"/>
      </c:barChart>
      <c:catAx>
        <c:axId val="812721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9648"/>
        <c:crosses val="autoZero"/>
        <c:auto val="1"/>
        <c:lblAlgn val="ctr"/>
        <c:lblOffset val="100"/>
        <c:noMultiLvlLbl val="0"/>
      </c:catAx>
      <c:valAx>
        <c:axId val="81271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2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[Child_Health_Data.csv.xlsx]Sugar &amp; Screen &amp;Region Analysis!PivotTable4</c:name>
    <c:fmtId val="11"/>
  </c:pivotSource>
  <c:chart>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'Sugar &amp; Screen &amp;Region Analysis'!$B$3</c:f>
              <c:strCache>
                <c:ptCount val="1"/>
                <c:pt idx="0">
                  <c:v>Average of Daily_Sugar_Drinks</c:v>
                </c:pt>
              </c:strCache>
            </c:strRef>
          </c:tx>
          <c:spPr>
            <a:solidFill>
              <a:schemeClr val="accent1"/>
            </a:solidFill>
            <a:ln>
              <a:noFill/>
            </a:ln>
            <a:effectLst/>
          </c:spPr>
          <c:invertIfNegative val="0"/>
          <c:cat>
            <c:strRef>
              <c:f>'Sugar &amp; Screen &amp;Region Analysis'!$A$4:$A$6</c:f>
              <c:strCache>
                <c:ptCount val="2"/>
                <c:pt idx="0">
                  <c:v>Healthy Weight</c:v>
                </c:pt>
                <c:pt idx="1">
                  <c:v>Underweight</c:v>
                </c:pt>
              </c:strCache>
            </c:strRef>
          </c:cat>
          <c:val>
            <c:numRef>
              <c:f>'Sugar &amp; Screen &amp;Region Analysis'!$B$4:$B$6</c:f>
              <c:numCache>
                <c:formatCode>General</c:formatCode>
                <c:ptCount val="2"/>
                <c:pt idx="0">
                  <c:v>1.5833333333333333</c:v>
                </c:pt>
                <c:pt idx="1">
                  <c:v>1.3026315789473684</c:v>
                </c:pt>
              </c:numCache>
            </c:numRef>
          </c:val>
          <c:extLst>
            <c:ext xmlns:c16="http://schemas.microsoft.com/office/drawing/2014/chart" uri="{C3380CC4-5D6E-409C-BE32-E72D297353CC}">
              <c16:uniqueId val="{00000000-2123-4BBD-BD3D-0CA158490C28}"/>
            </c:ext>
          </c:extLst>
        </c:ser>
        <c:ser>
          <c:idx val="1"/>
          <c:order val="1"/>
          <c:tx>
            <c:strRef>
              <c:f>'Sugar &amp; Screen &amp;Region Analysis'!$C$3</c:f>
              <c:strCache>
                <c:ptCount val="1"/>
                <c:pt idx="0">
                  <c:v>Average of ScreenTime_Hours</c:v>
                </c:pt>
              </c:strCache>
            </c:strRef>
          </c:tx>
          <c:spPr>
            <a:solidFill>
              <a:schemeClr val="accent2"/>
            </a:solidFill>
            <a:ln>
              <a:noFill/>
            </a:ln>
            <a:effectLst/>
          </c:spPr>
          <c:invertIfNegative val="0"/>
          <c:cat>
            <c:strRef>
              <c:f>'Sugar &amp; Screen &amp;Region Analysis'!$A$4:$A$6</c:f>
              <c:strCache>
                <c:ptCount val="2"/>
                <c:pt idx="0">
                  <c:v>Healthy Weight</c:v>
                </c:pt>
                <c:pt idx="1">
                  <c:v>Underweight</c:v>
                </c:pt>
              </c:strCache>
            </c:strRef>
          </c:cat>
          <c:val>
            <c:numRef>
              <c:f>'Sugar &amp; Screen &amp;Region Analysis'!$C$4:$C$6</c:f>
              <c:numCache>
                <c:formatCode>General</c:formatCode>
                <c:ptCount val="2"/>
                <c:pt idx="0">
                  <c:v>1.6875000000000002</c:v>
                </c:pt>
                <c:pt idx="1">
                  <c:v>1.2986842105263157</c:v>
                </c:pt>
              </c:numCache>
            </c:numRef>
          </c:val>
          <c:extLst>
            <c:ext xmlns:c16="http://schemas.microsoft.com/office/drawing/2014/chart" uri="{C3380CC4-5D6E-409C-BE32-E72D297353CC}">
              <c16:uniqueId val="{00000001-2123-4BBD-BD3D-0CA158490C28}"/>
            </c:ext>
          </c:extLst>
        </c:ser>
        <c:dLbls>
          <c:showLegendKey val="0"/>
          <c:showVal val="0"/>
          <c:showCatName val="0"/>
          <c:showSerName val="0"/>
          <c:showPercent val="0"/>
          <c:showBubbleSize val="0"/>
        </c:dLbls>
        <c:gapWidth val="150"/>
        <c:axId val="582496976"/>
        <c:axId val="582484016"/>
      </c:barChart>
      <c:catAx>
        <c:axId val="58249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84016"/>
        <c:crosses val="autoZero"/>
        <c:auto val="1"/>
        <c:lblAlgn val="ctr"/>
        <c:lblOffset val="100"/>
        <c:noMultiLvlLbl val="0"/>
      </c:catAx>
      <c:valAx>
        <c:axId val="58248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9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[Child_Health_Data.csv.xlsx]BMI vs Nutrition!PivotTable2</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'BMI vs Nutrition'!$B$3:$B$4</c:f>
              <c:strCache>
                <c:ptCount val="1"/>
                <c:pt idx="0">
                  <c:v>0</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FE5-459C-A25B-B6BDF00FEBF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FE5-459C-A25B-B6BDF00FEBF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FE5-459C-A25B-B6BDF00FEBF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FE5-459C-A25B-B6BDF00FEBF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FE5-459C-A25B-B6BDF00FEB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Nutrition'!$B$5:$B$10</c:f>
              <c:numCache>
                <c:formatCode>General</c:formatCode>
                <c:ptCount val="5"/>
                <c:pt idx="0">
                  <c:v>19.016420427584645</c:v>
                </c:pt>
                <c:pt idx="1">
                  <c:v>16.35248862763348</c:v>
                </c:pt>
                <c:pt idx="2">
                  <c:v>18.304030863042058</c:v>
                </c:pt>
                <c:pt idx="3">
                  <c:v>18.791232347431109</c:v>
                </c:pt>
                <c:pt idx="4">
                  <c:v>17.326942725016981</c:v>
                </c:pt>
              </c:numCache>
            </c:numRef>
          </c:val>
          <c:extLst>
            <c:ext xmlns:c16="http://schemas.microsoft.com/office/drawing/2014/chart" uri="{C3380CC4-5D6E-409C-BE32-E72D297353CC}">
              <c16:uniqueId val="{0000000A-1FE5-459C-A25B-B6BDF00FEBF1}"/>
            </c:ext>
          </c:extLst>
        </c:ser>
        <c:ser>
          <c:idx val="1"/>
          <c:order val="1"/>
          <c:tx>
            <c:strRef>
              <c:f>'BMI vs Nutrition'!$C$3:$C$4</c:f>
              <c:strCache>
                <c:ptCount val="1"/>
                <c:pt idx="0">
                  <c:v>1</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Nutrition'!$C$5:$C$10</c:f>
              <c:numCache>
                <c:formatCode>General</c:formatCode>
                <c:ptCount val="5"/>
                <c:pt idx="0">
                  <c:v>17.280117596560103</c:v>
                </c:pt>
                <c:pt idx="1">
                  <c:v>16.201722814253078</c:v>
                </c:pt>
                <c:pt idx="2">
                  <c:v>13.414804870225169</c:v>
                </c:pt>
                <c:pt idx="3">
                  <c:v>15.547827345547695</c:v>
                </c:pt>
                <c:pt idx="4">
                  <c:v>16.827714126941665</c:v>
                </c:pt>
              </c:numCache>
            </c:numRef>
          </c:val>
          <c:extLst>
            <c:ext xmlns:c16="http://schemas.microsoft.com/office/drawing/2014/chart" uri="{C3380CC4-5D6E-409C-BE32-E72D297353CC}">
              <c16:uniqueId val="{00000046-1FE5-459C-A25B-B6BDF00FEBF1}"/>
            </c:ext>
          </c:extLst>
        </c:ser>
        <c:ser>
          <c:idx val="2"/>
          <c:order val="2"/>
          <c:tx>
            <c:strRef>
              <c:f>'BMI vs Nutrition'!$D$3:$D$4</c:f>
              <c:strCache>
                <c:ptCount val="1"/>
                <c:pt idx="0">
                  <c:v>2</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Nutrition'!$D$5:$D$10</c:f>
              <c:numCache>
                <c:formatCode>General</c:formatCode>
                <c:ptCount val="5"/>
                <c:pt idx="0">
                  <c:v>16.27305047255906</c:v>
                </c:pt>
                <c:pt idx="1">
                  <c:v>17.145357431721354</c:v>
                </c:pt>
                <c:pt idx="2">
                  <c:v>17.219114471226323</c:v>
                </c:pt>
                <c:pt idx="3">
                  <c:v>18.37904051788599</c:v>
                </c:pt>
                <c:pt idx="4">
                  <c:v>16.79563742079436</c:v>
                </c:pt>
              </c:numCache>
            </c:numRef>
          </c:val>
          <c:extLst>
            <c:ext xmlns:c16="http://schemas.microsoft.com/office/drawing/2014/chart" uri="{C3380CC4-5D6E-409C-BE32-E72D297353CC}">
              <c16:uniqueId val="{00000047-1FE5-459C-A25B-B6BDF00FEBF1}"/>
            </c:ext>
          </c:extLst>
        </c:ser>
        <c:ser>
          <c:idx val="3"/>
          <c:order val="3"/>
          <c:tx>
            <c:strRef>
              <c:f>'BMI vs Nutrition'!$E$3:$E$4</c:f>
              <c:strCache>
                <c:ptCount val="1"/>
                <c:pt idx="0">
                  <c:v>3</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Nutrition'!$E$5:$E$10</c:f>
              <c:numCache>
                <c:formatCode>General</c:formatCode>
                <c:ptCount val="5"/>
                <c:pt idx="0">
                  <c:v>17.104134635526798</c:v>
                </c:pt>
                <c:pt idx="1">
                  <c:v>15.486892118792989</c:v>
                </c:pt>
                <c:pt idx="3">
                  <c:v>19.105850849662808</c:v>
                </c:pt>
                <c:pt idx="4">
                  <c:v>16.427913820241738</c:v>
                </c:pt>
              </c:numCache>
            </c:numRef>
          </c:val>
          <c:extLst>
            <c:ext xmlns:c16="http://schemas.microsoft.com/office/drawing/2014/chart" uri="{C3380CC4-5D6E-409C-BE32-E72D297353CC}">
              <c16:uniqueId val="{00000048-1FE5-459C-A25B-B6BDF00FEBF1}"/>
            </c:ext>
          </c:extLst>
        </c:ser>
        <c:ser>
          <c:idx val="4"/>
          <c:order val="4"/>
          <c:tx>
            <c:strRef>
              <c:f>'BMI vs Nutrition'!$F$3:$F$4</c:f>
              <c:strCache>
                <c:ptCount val="1"/>
                <c:pt idx="0">
                  <c:v>4</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'BMI vs Nutrition'!$A$5:$A$10</c:f>
              <c:strCache>
                <c:ptCount val="5"/>
                <c:pt idx="0">
                  <c:v>0</c:v>
                </c:pt>
                <c:pt idx="1">
                  <c:v>1</c:v>
                </c:pt>
                <c:pt idx="2">
                  <c:v>2</c:v>
                </c:pt>
                <c:pt idx="3">
                  <c:v>3</c:v>
                </c:pt>
                <c:pt idx="4">
                  <c:v>4</c:v>
                </c:pt>
              </c:strCache>
            </c:strRef>
          </c:cat>
          <c:val>
            <c:numRef>
              <c:f>'BMI vs Nutrition'!$F$5:$F$10</c:f>
              <c:numCache>
                <c:formatCode>General</c:formatCode>
                <c:ptCount val="5"/>
                <c:pt idx="0">
                  <c:v>18.137073212360072</c:v>
                </c:pt>
                <c:pt idx="1">
                  <c:v>17.548662976364966</c:v>
                </c:pt>
                <c:pt idx="2">
                  <c:v>17.104693630968079</c:v>
                </c:pt>
                <c:pt idx="3">
                  <c:v>15.747317770125974</c:v>
                </c:pt>
                <c:pt idx="4">
                  <c:v>20.023541521230683</c:v>
                </c:pt>
              </c:numCache>
            </c:numRef>
          </c:val>
          <c:extLst>
            <c:ext xmlns:c16="http://schemas.microsoft.com/office/drawing/2014/chart" uri="{C3380CC4-5D6E-409C-BE32-E72D297353CC}">
              <c16:uniqueId val="{00000049-1FE5-459C-A25B-B6BDF00FEBF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[Child_Health_Data.csv.xlsx]Sugar &amp; Screen &amp;Region Analysis!PivotTable6</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'Sugar &amp; Screen &amp;Region Analysis'!$F$3</c:f>
              <c:strCache>
                <c:ptCount val="1"/>
                <c:pt idx="0">
                  <c:v>Average of BMI</c:v>
                </c:pt>
              </c:strCache>
            </c:strRef>
          </c:tx>
          <c:spPr>
            <a:solidFill>
              <a:schemeClr val="accent1"/>
            </a:solidFill>
            <a:ln>
              <a:noFill/>
            </a:ln>
            <a:effectLst/>
            <a:sp3d/>
          </c:spPr>
          <c:invertIfNegative val="0"/>
          <c:cat>
            <c:strRef>
              <c:f>'Sugar &amp; Screen &amp;Region Analysis'!$E$4:$E$9</c:f>
              <c:strCache>
                <c:ptCount val="5"/>
                <c:pt idx="0">
                  <c:v>Central</c:v>
                </c:pt>
                <c:pt idx="1">
                  <c:v>East</c:v>
                </c:pt>
                <c:pt idx="2">
                  <c:v>North</c:v>
                </c:pt>
                <c:pt idx="3">
                  <c:v>South</c:v>
                </c:pt>
                <c:pt idx="4">
                  <c:v>West</c:v>
                </c:pt>
              </c:strCache>
            </c:strRef>
          </c:cat>
          <c:val>
            <c:numRef>
              <c:f>'Sugar &amp; Screen &amp;Region Analysis'!$F$4:$F$9</c:f>
              <c:numCache>
                <c:formatCode>General</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CB1E-4DF2-A039-43E425A41054}"/>
            </c:ext>
          </c:extLst>
        </c:ser>
        <c:ser>
          <c:idx val="1"/>
          <c:order val="1"/>
          <c:tx>
            <c:strRef>
              <c:f>'Sugar &amp; Screen &amp;Region Analysis'!$G$3</c:f>
              <c:strCache>
                <c:ptCount val="1"/>
                <c:pt idx="0">
                  <c:v>Average of Daily_Fruit_Servings</c:v>
                </c:pt>
              </c:strCache>
            </c:strRef>
          </c:tx>
          <c:spPr>
            <a:solidFill>
              <a:schemeClr val="accent2"/>
            </a:solidFill>
            <a:ln>
              <a:noFill/>
            </a:ln>
            <a:effectLst/>
            <a:sp3d/>
          </c:spPr>
          <c:invertIfNegative val="0"/>
          <c:cat>
            <c:strRef>
              <c:f>'Sugar &amp; Screen &amp;Region Analysis'!$E$4:$E$9</c:f>
              <c:strCache>
                <c:ptCount val="5"/>
                <c:pt idx="0">
                  <c:v>Central</c:v>
                </c:pt>
                <c:pt idx="1">
                  <c:v>East</c:v>
                </c:pt>
                <c:pt idx="2">
                  <c:v>North</c:v>
                </c:pt>
                <c:pt idx="3">
                  <c:v>South</c:v>
                </c:pt>
                <c:pt idx="4">
                  <c:v>West</c:v>
                </c:pt>
              </c:strCache>
            </c:strRef>
          </c:cat>
          <c:val>
            <c:numRef>
              <c:f>'Sugar &amp; Screen &amp;Region Analysis'!$G$4:$G$9</c:f>
              <c:numCache>
                <c:formatCode>General</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CB1E-4DF2-A039-43E425A41054}"/>
            </c:ext>
          </c:extLst>
        </c:ser>
        <c:dLbls>
          <c:showLegendKey val="0"/>
          <c:showVal val="0"/>
          <c:showCatName val="0"/>
          <c:showSerName val="0"/>
          <c:showPercent val="0"/>
          <c:showBubbleSize val="0"/>
        </c:dLbls>
        <c:gapWidth val="150"/>
        <c:shape val="box"/>
        <c:axId val="812703328"/>
        <c:axId val="812710048"/>
        <c:axId val="0"/>
      </c:bar3DChart>
      <c:catAx>
        <c:axId val="81270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0048"/>
        <c:crosses val="autoZero"/>
        <c:auto val="1"/>
        <c:lblAlgn val="ctr"/>
        <c:lblOffset val="100"/>
        <c:noMultiLvlLbl val="0"/>
      </c:catAx>
      <c:valAx>
        <c:axId val="81271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0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82550</xdr:colOff>
      <xdr:row>2</xdr:row>
      <xdr:rowOff>12700</xdr:rowOff>
    </xdr:from>
    <xdr:to>
      <xdr:col>11</xdr:col>
      <xdr:colOff>387350</xdr:colOff>
      <xdr:row>16</xdr:row>
      <xdr:rowOff>177800</xdr:rowOff>
    </xdr:to>
    <xdr:graphicFrame macro="">
      <xdr:nvGraphicFramePr>
        <xdr:cNvPr id="3" name="Chart 2">
          <a:extLst>
            <a:ext uri="{FF2B5EF4-FFF2-40B4-BE49-F238E27FC236}">
              <a16:creationId xmlns:a16="http://schemas.microsoft.com/office/drawing/2014/main" id="{E1D98C74-2507-6B1E-F499-70B4D3C54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76200</xdr:colOff>
      <xdr:row>1</xdr:row>
      <xdr:rowOff>152401</xdr:rowOff>
    </xdr:from>
    <xdr:to>
      <xdr:col>10</xdr:col>
      <xdr:colOff>69850</xdr:colOff>
      <xdr:row>10</xdr:row>
      <xdr:rowOff>171451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E7895242-57F2-FFF3-A50C-0D24D363A0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04050" y="336551"/>
              <a:ext cx="182245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11</xdr:row>
      <xdr:rowOff>44450</xdr:rowOff>
    </xdr:from>
    <xdr:to>
      <xdr:col>2</xdr:col>
      <xdr:colOff>527050</xdr:colOff>
      <xdr:row>23</xdr:row>
      <xdr:rowOff>44450</xdr:rowOff>
    </xdr:to>
    <xdr:graphicFrame macro="">
      <xdr:nvGraphicFramePr>
        <xdr:cNvPr id="3" name="Chart 2">
          <a:extLst>
            <a:ext uri="{FF2B5EF4-FFF2-40B4-BE49-F238E27FC236}">
              <a16:creationId xmlns:a16="http://schemas.microsoft.com/office/drawing/2014/main" id="{ECC31714-91AA-89B1-18A1-67EA22D6D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774700</xdr:colOff>
      <xdr:row>10</xdr:row>
      <xdr:rowOff>177800</xdr:rowOff>
    </xdr:from>
    <xdr:to>
      <xdr:col>5</xdr:col>
      <xdr:colOff>127000</xdr:colOff>
      <xdr:row>24</xdr:row>
      <xdr:rowOff>123825</xdr:rowOff>
    </xdr:to>
    <mc:AlternateContent xmlns:mc="http://schemas.openxmlformats.org/markup-compatibility/2006">
      <mc:Choice xmlns:a14="http://schemas.microsoft.com/office/drawing/2010/main" Requires="a14">
        <xdr:graphicFrame macro="">
          <xdr:nvGraphicFramePr>
            <xdr:cNvPr id="4" name="ScreenTime_Hours">
              <a:extLst>
                <a:ext uri="{FF2B5EF4-FFF2-40B4-BE49-F238E27FC236}">
                  <a16:creationId xmlns:a16="http://schemas.microsoft.com/office/drawing/2014/main" id="{675B371C-A218-B7BF-8ED3-4A4735EFD9F9}"/>
                </a:ext>
              </a:extLst>
            </xdr:cNvPr>
            <xdr:cNvGraphicFramePr/>
          </xdr:nvGraphicFramePr>
          <xdr:xfrm>
            <a:off x="0" y="0"/>
            <a:ext cx="0" cy="0"/>
          </xdr:xfrm>
          <a:graphic>
            <a:graphicData uri="http://schemas.microsoft.com/office/drawing/2010/slicer">
              <sle:slicer xmlns:sle="http://schemas.microsoft.com/office/drawing/2010/slicer" name="ScreenTime_Hours"/>
            </a:graphicData>
          </a:graphic>
        </xdr:graphicFrame>
      </mc:Choice>
      <mc:Fallback>
        <xdr:sp macro="" textlink="">
          <xdr:nvSpPr>
            <xdr:cNvPr id="0" name=""/>
            <xdr:cNvSpPr>
              <a:spLocks noTextEdit="1"/>
            </xdr:cNvSpPr>
          </xdr:nvSpPr>
          <xdr:spPr>
            <a:xfrm>
              <a:off x="3575050" y="201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31750</xdr:colOff>
      <xdr:row>6</xdr:row>
      <xdr:rowOff>152400</xdr:rowOff>
    </xdr:from>
    <xdr:to>
      <xdr:col>2</xdr:col>
      <xdr:colOff>1797050</xdr:colOff>
      <xdr:row>18</xdr:row>
      <xdr:rowOff>82550</xdr:rowOff>
    </xdr:to>
    <xdr:graphicFrame macro="">
      <xdr:nvGraphicFramePr>
        <xdr:cNvPr id="3" name="Chart 2">
          <a:extLst>
            <a:ext uri="{FF2B5EF4-FFF2-40B4-BE49-F238E27FC236}">
              <a16:creationId xmlns:a16="http://schemas.microsoft.com/office/drawing/2014/main" id="{75AB9195-9019-9CB4-77F6-85C3C6100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336550</xdr:colOff>
      <xdr:row>9</xdr:row>
      <xdr:rowOff>95250</xdr:rowOff>
    </xdr:from>
    <xdr:to>
      <xdr:col>6</xdr:col>
      <xdr:colOff>1511300</xdr:colOff>
      <xdr:row>21</xdr:row>
      <xdr:rowOff>127000</xdr:rowOff>
    </xdr:to>
    <xdr:graphicFrame macro="">
      <xdr:nvGraphicFramePr>
        <xdr:cNvPr id="5" name="Chart 4">
          <a:extLst>
            <a:ext uri="{FF2B5EF4-FFF2-40B4-BE49-F238E27FC236}">
              <a16:creationId xmlns:a16="http://schemas.microsoft.com/office/drawing/2014/main" id="{4CE9E503-A377-FDC7-E2E2-2AA405748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171450</xdr:colOff>
      <xdr:row>1</xdr:row>
      <xdr:rowOff>120650</xdr:rowOff>
    </xdr:from>
    <xdr:to>
      <xdr:col>10</xdr:col>
      <xdr:colOff>171450</xdr:colOff>
      <xdr:row>15</xdr:row>
      <xdr:rowOff>53975</xdr:rowOff>
    </xdr:to>
    <mc:AlternateContent xmlns:mc="http://schemas.openxmlformats.org/markup-compatibility/2006">
      <mc:Choice xmlns:a14="http://schemas.microsoft.com/office/drawing/2010/main" Requires="a14">
        <xdr:graphicFrame macro="">
          <xdr:nvGraphicFramePr>
            <xdr:cNvPr id="6" name="BMI">
              <a:extLst>
                <a:ext uri="{FF2B5EF4-FFF2-40B4-BE49-F238E27FC236}">
                  <a16:creationId xmlns:a16="http://schemas.microsoft.com/office/drawing/2014/main" id="{5088FCE3-0369-6A48-E32D-13490BD07FF3}"/>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dr:sp macro="" textlink="">
          <xdr:nvSpPr>
            <xdr:cNvPr id="0" name=""/>
            <xdr:cNvSpPr>
              <a:spLocks noTextEdit="1"/>
            </xdr:cNvSpPr>
          </xdr:nvSpPr>
          <xdr:spPr>
            <a:xfrm>
              <a:off x="9067800" y="304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xdr:colOff>
      <xdr:row>0</xdr:row>
      <xdr:rowOff>69850</xdr:rowOff>
    </xdr:from>
    <xdr:to>
      <xdr:col>19</xdr:col>
      <xdr:colOff>349250</xdr:colOff>
      <xdr:row>31</xdr:row>
      <xdr:rowOff>76200</xdr:rowOff>
    </xdr:to>
    <xdr:sp macro="" textlink="">
      <xdr:nvSpPr>
        <xdr:cNvPr id="2" name="Rectangle: Rounded Corners 1">
          <a:extLst>
            <a:ext uri="{FF2B5EF4-FFF2-40B4-BE49-F238E27FC236}">
              <a16:creationId xmlns:a16="http://schemas.microsoft.com/office/drawing/2014/main" id="{2F853535-C526-A0A8-6CB1-8BEACFD48ED3}"/>
            </a:ext>
          </a:extLst>
        </xdr:cNvPr>
        <xdr:cNvSpPr/>
      </xdr:nvSpPr>
      <xdr:spPr>
        <a:xfrm>
          <a:off x="6350" y="69850"/>
          <a:ext cx="11925300" cy="5715000"/>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158750</xdr:colOff>
      <xdr:row>1</xdr:row>
      <xdr:rowOff>0</xdr:rowOff>
    </xdr:from>
    <xdr:to>
      <xdr:col>15</xdr:col>
      <xdr:colOff>0</xdr:colOff>
      <xdr:row>3</xdr:row>
      <xdr:rowOff>25400</xdr:rowOff>
    </xdr:to>
    <xdr:sp macro="" textlink="">
      <xdr:nvSpPr>
        <xdr:cNvPr id="3" name="Rectangle 2">
          <a:extLst>
            <a:ext uri="{FF2B5EF4-FFF2-40B4-BE49-F238E27FC236}">
              <a16:creationId xmlns:a16="http://schemas.microsoft.com/office/drawing/2014/main" id="{317D49D4-2AED-7AF5-48D0-9296AA08493D}"/>
            </a:ext>
          </a:extLst>
        </xdr:cNvPr>
        <xdr:cNvSpPr/>
      </xdr:nvSpPr>
      <xdr:spPr>
        <a:xfrm>
          <a:off x="1987550" y="184150"/>
          <a:ext cx="7156450" cy="3937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atin typeface="+mn-lt"/>
            </a:rPr>
            <a:t>                   </a:t>
          </a:r>
          <a:r>
            <a:rPr lang="en-IN" sz="1800" b="1">
              <a:solidFill>
                <a:sysClr val="windowText" lastClr="000000"/>
              </a:solidFill>
              <a:latin typeface="+mn-lt"/>
            </a:rPr>
            <a:t>The "Healthy Kids" Nutrition &amp; Growth Analysis </a:t>
          </a:r>
        </a:p>
      </xdr:txBody>
    </xdr:sp>
    <xdr:clientData/>
  </xdr:twoCellAnchor>
  <xdr:twoCellAnchor>
    <xdr:from>
      <xdr:col>3</xdr:col>
      <xdr:colOff>514350</xdr:colOff>
      <xdr:row>3</xdr:row>
      <xdr:rowOff>139700</xdr:rowOff>
    </xdr:from>
    <xdr:to>
      <xdr:col>9</xdr:col>
      <xdr:colOff>558800</xdr:colOff>
      <xdr:row>16</xdr:row>
      <xdr:rowOff>12700</xdr:rowOff>
    </xdr:to>
    <xdr:graphicFrame macro="">
      <xdr:nvGraphicFramePr>
        <xdr:cNvPr id="4" name="Chart 3">
          <a:extLst>
            <a:ext uri="{FF2B5EF4-FFF2-40B4-BE49-F238E27FC236}">
              <a16:creationId xmlns:a16="http://schemas.microsoft.com/office/drawing/2014/main" id="{4DB49C4E-58F4-4456-B4D9-56023EAF9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400050</xdr:colOff>
      <xdr:row>3</xdr:row>
      <xdr:rowOff>152400</xdr:rowOff>
    </xdr:from>
    <xdr:to>
      <xdr:col>18</xdr:col>
      <xdr:colOff>400050</xdr:colOff>
      <xdr:row>8</xdr:row>
      <xdr:rowOff>101601</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C6F236E6-6073-85EC-574D-5B6EAD2374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544050" y="704850"/>
              <a:ext cx="1828800" cy="869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495300</xdr:colOff>
      <xdr:row>3</xdr:row>
      <xdr:rowOff>152400</xdr:rowOff>
    </xdr:from>
    <xdr:to>
      <xdr:col>3</xdr:col>
      <xdr:colOff>450850</xdr:colOff>
      <xdr:row>8</xdr:row>
      <xdr:rowOff>139700</xdr:rowOff>
    </xdr:to>
    <mc:AlternateContent xmlns:mc="http://schemas.openxmlformats.org/markup-compatibility/2006">
      <mc:Choice xmlns:a14="http://schemas.microsoft.com/office/drawing/2010/main" Requires="a14">
        <xdr:graphicFrame macro="">
          <xdr:nvGraphicFramePr>
            <xdr:cNvPr id="6" name="Health_Status">
              <a:extLst>
                <a:ext uri="{FF2B5EF4-FFF2-40B4-BE49-F238E27FC236}">
                  <a16:creationId xmlns:a16="http://schemas.microsoft.com/office/drawing/2014/main" id="{F7068E42-744E-0F1F-7010-C8E63CF76D30}"/>
                </a:ext>
              </a:extLst>
            </xdr:cNvPr>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dr:sp macro="" textlink="">
          <xdr:nvSpPr>
            <xdr:cNvPr id="0" name=""/>
            <xdr:cNvSpPr>
              <a:spLocks noTextEdit="1"/>
            </xdr:cNvSpPr>
          </xdr:nvSpPr>
          <xdr:spPr>
            <a:xfrm>
              <a:off x="495300" y="704850"/>
              <a:ext cx="1784350" cy="908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469900</xdr:colOff>
      <xdr:row>9</xdr:row>
      <xdr:rowOff>25400</xdr:rowOff>
    </xdr:from>
    <xdr:to>
      <xdr:col>3</xdr:col>
      <xdr:colOff>463550</xdr:colOff>
      <xdr:row>18</xdr:row>
      <xdr:rowOff>44450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708E6CB5-AA31-491A-84E9-14930E32FB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69900" y="1682750"/>
              <a:ext cx="182245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539750</xdr:colOff>
      <xdr:row>16</xdr:row>
      <xdr:rowOff>76200</xdr:rowOff>
    </xdr:from>
    <xdr:to>
      <xdr:col>9</xdr:col>
      <xdr:colOff>571500</xdr:colOff>
      <xdr:row>28</xdr:row>
      <xdr:rowOff>63500</xdr:rowOff>
    </xdr:to>
    <xdr:graphicFrame macro="">
      <xdr:nvGraphicFramePr>
        <xdr:cNvPr id="9" name="Chart 8">
          <a:extLst>
            <a:ext uri="{FF2B5EF4-FFF2-40B4-BE49-F238E27FC236}">
              <a16:creationId xmlns:a16="http://schemas.microsoft.com/office/drawing/2014/main" id="{3015DAB9-B7DA-4C72-966A-24A4F69A0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3</xdr:row>
      <xdr:rowOff>171450</xdr:rowOff>
    </xdr:from>
    <xdr:to>
      <xdr:col>15</xdr:col>
      <xdr:colOff>285750</xdr:colOff>
      <xdr:row>16</xdr:row>
      <xdr:rowOff>6350</xdr:rowOff>
    </xdr:to>
    <xdr:graphicFrame macro="">
      <xdr:nvGraphicFramePr>
        <xdr:cNvPr id="10" name="Chart 9">
          <a:extLst>
            <a:ext uri="{FF2B5EF4-FFF2-40B4-BE49-F238E27FC236}">
              <a16:creationId xmlns:a16="http://schemas.microsoft.com/office/drawing/2014/main" id="{75A4CCED-B026-4488-AED6-DD5D16F4D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425450</xdr:colOff>
      <xdr:row>9</xdr:row>
      <xdr:rowOff>6351</xdr:rowOff>
    </xdr:from>
    <xdr:to>
      <xdr:col>18</xdr:col>
      <xdr:colOff>425450</xdr:colOff>
      <xdr:row>16</xdr:row>
      <xdr:rowOff>82551</xdr:rowOff>
    </xdr:to>
    <mc:AlternateContent xmlns:mc="http://schemas.openxmlformats.org/markup-compatibility/2006">
      <mc:Choice xmlns:a14="http://schemas.microsoft.com/office/drawing/2010/main" Requires="a14">
        <xdr:graphicFrame macro="">
          <xdr:nvGraphicFramePr>
            <xdr:cNvPr id="11" name="Age_Months">
              <a:extLst>
                <a:ext uri="{FF2B5EF4-FFF2-40B4-BE49-F238E27FC236}">
                  <a16:creationId xmlns:a16="http://schemas.microsoft.com/office/drawing/2014/main" id="{24757AD1-DE5B-2F86-84E1-6BC22BC3AE29}"/>
                </a:ext>
              </a:extLst>
            </xdr:cNvPr>
            <xdr:cNvGraphicFramePr/>
          </xdr:nvGraphicFramePr>
          <xdr:xfrm>
            <a:off x="0" y="0"/>
            <a:ext cx="0" cy="0"/>
          </xdr:xfrm>
          <a:graphic>
            <a:graphicData uri="http://schemas.microsoft.com/office/drawing/2010/slicer">
              <sle:slicer xmlns:sle="http://schemas.microsoft.com/office/drawing/2010/slicer" name="Age_Months"/>
            </a:graphicData>
          </a:graphic>
        </xdr:graphicFrame>
      </mc:Choice>
      <mc:Fallback>
        <xdr:sp macro="" textlink="">
          <xdr:nvSpPr>
            <xdr:cNvPr id="0" name=""/>
            <xdr:cNvSpPr>
              <a:spLocks noTextEdit="1"/>
            </xdr:cNvSpPr>
          </xdr:nvSpPr>
          <xdr:spPr>
            <a:xfrm>
              <a:off x="9569450" y="1663701"/>
              <a:ext cx="1828800" cy="136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50800</xdr:colOff>
      <xdr:row>16</xdr:row>
      <xdr:rowOff>76200</xdr:rowOff>
    </xdr:from>
    <xdr:to>
      <xdr:col>15</xdr:col>
      <xdr:colOff>279400</xdr:colOff>
      <xdr:row>27</xdr:row>
      <xdr:rowOff>158750</xdr:rowOff>
    </xdr:to>
    <xdr:graphicFrame macro="">
      <xdr:nvGraphicFramePr>
        <xdr:cNvPr id="12" name="Chart 11">
          <a:extLst>
            <a:ext uri="{FF2B5EF4-FFF2-40B4-BE49-F238E27FC236}">
              <a16:creationId xmlns:a16="http://schemas.microsoft.com/office/drawing/2014/main" id="{6CF33439-7BCB-4FAF-BDE6-483CC9964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488950</xdr:colOff>
      <xdr:row>18</xdr:row>
      <xdr:rowOff>82551</xdr:rowOff>
    </xdr:from>
    <xdr:to>
      <xdr:col>3</xdr:col>
      <xdr:colOff>495300</xdr:colOff>
      <xdr:row>28</xdr:row>
      <xdr:rowOff>82551</xdr:rowOff>
    </xdr:to>
    <mc:AlternateContent xmlns:mc="http://schemas.openxmlformats.org/markup-compatibility/2006">
      <mc:Choice xmlns:a14="http://schemas.microsoft.com/office/drawing/2010/main" Requires="a14">
        <xdr:graphicFrame macro="">
          <xdr:nvGraphicFramePr>
            <xdr:cNvPr id="14" name="BMI 1">
              <a:extLst>
                <a:ext uri="{FF2B5EF4-FFF2-40B4-BE49-F238E27FC236}">
                  <a16:creationId xmlns:a16="http://schemas.microsoft.com/office/drawing/2014/main" id="{53E7B024-2C29-4785-80BE-8CD1D9417BE2}"/>
                </a:ext>
              </a:extLst>
            </xdr:cNvPr>
            <xdr:cNvGraphicFramePr/>
          </xdr:nvGraphicFramePr>
          <xdr:xfrm>
            <a:off x="0" y="0"/>
            <a:ext cx="0" cy="0"/>
          </xdr:xfrm>
          <a:graphic>
            <a:graphicData uri="http://schemas.microsoft.com/office/drawing/2010/slicer">
              <sle:slicer xmlns:sle="http://schemas.microsoft.com/office/drawing/2010/slicer" name="BMI 1"/>
            </a:graphicData>
          </a:graphic>
        </xdr:graphicFrame>
      </mc:Choice>
      <mc:Fallback>
        <xdr:sp macro="" textlink="">
          <xdr:nvSpPr>
            <xdr:cNvPr id="0" name=""/>
            <xdr:cNvSpPr>
              <a:spLocks noTextEdit="1"/>
            </xdr:cNvSpPr>
          </xdr:nvSpPr>
          <xdr:spPr>
            <a:xfrm>
              <a:off x="488950" y="3397251"/>
              <a:ext cx="183515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387350</xdr:colOff>
      <xdr:row>16</xdr:row>
      <xdr:rowOff>146050</xdr:rowOff>
    </xdr:from>
    <xdr:to>
      <xdr:col>18</xdr:col>
      <xdr:colOff>501650</xdr:colOff>
      <xdr:row>27</xdr:row>
      <xdr:rowOff>139700</xdr:rowOff>
    </xdr:to>
    <mc:AlternateContent xmlns:mc="http://schemas.openxmlformats.org/markup-compatibility/2006">
      <mc:Choice xmlns:a14="http://schemas.microsoft.com/office/drawing/2010/main" Requires="a14">
        <xdr:graphicFrame macro="">
          <xdr:nvGraphicFramePr>
            <xdr:cNvPr id="15" name="ScreenTime_Hours 1">
              <a:extLst>
                <a:ext uri="{FF2B5EF4-FFF2-40B4-BE49-F238E27FC236}">
                  <a16:creationId xmlns:a16="http://schemas.microsoft.com/office/drawing/2014/main" id="{74A9A739-5466-4F26-9DAA-A7F4E09F19DA}"/>
                </a:ext>
              </a:extLst>
            </xdr:cNvPr>
            <xdr:cNvGraphicFramePr/>
          </xdr:nvGraphicFramePr>
          <xdr:xfrm>
            <a:off x="0" y="0"/>
            <a:ext cx="0" cy="0"/>
          </xdr:xfrm>
          <a:graphic>
            <a:graphicData uri="http://schemas.microsoft.com/office/drawing/2010/slicer">
              <sle:slicer xmlns:sle="http://schemas.microsoft.com/office/drawing/2010/slicer" name="ScreenTime_Hours 1"/>
            </a:graphicData>
          </a:graphic>
        </xdr:graphicFrame>
      </mc:Choice>
      <mc:Fallback>
        <xdr:sp macro="" textlink="">
          <xdr:nvSpPr>
            <xdr:cNvPr id="0" name=""/>
            <xdr:cNvSpPr>
              <a:spLocks noTextEdit="1"/>
            </xdr:cNvSpPr>
          </xdr:nvSpPr>
          <xdr:spPr>
            <a:xfrm>
              <a:off x="9531350" y="3092450"/>
              <a:ext cx="19431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REYU" refreshedDate="46107.400400925922" createdVersion="8" refreshedVersion="8" minRefreshableVersion="3" recordCount="100" xr:uid="{24F39A30-51AC-46DA-A1CA-76419AF2869B}">
  <cacheSource type="worksheet">
    <worksheetSource name="Table1"/>
  </cacheSource>
  <cacheFields count="12">
    <cacheField name="ChildID" numFmtId="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ount="27">
        <n v="1.2"/>
        <n v="1.4"/>
        <n v="0.6"/>
        <n v="1.5"/>
        <n v="0.9"/>
        <n v="2.8"/>
        <n v="1.3"/>
        <n v="0.8"/>
        <n v="1"/>
        <n v="1.6"/>
        <n v="2.1"/>
        <n v="3.1"/>
        <n v="2"/>
        <n v="1.9"/>
        <n v="2.9"/>
        <n v="2.2999999999999998"/>
        <n v="0.7"/>
        <n v="1.7"/>
        <n v="3.2"/>
        <n v="0.5"/>
        <n v="1.1000000000000001"/>
        <n v="2.6"/>
        <n v="1.8"/>
        <n v="2.2000000000000002"/>
        <n v="3.8"/>
        <n v="3"/>
        <n v="2.5"/>
      </sharedItems>
    </cacheField>
    <cacheField name="Region" numFmtId="0">
      <sharedItems count="5">
        <s v="South"/>
        <s v="Central"/>
        <s v="East"/>
        <s v="North"/>
        <s v="West"/>
      </sharedItems>
    </cacheField>
    <cacheField name="BMI" numFmtId="0">
      <sharedItems containsSemiMixedTypes="0" containsString="0" containsNumber="1" minValue="11.23198275256877" maxValue="21.36231277340449" count="100">
        <n v="15.90614369846883"/>
        <n v="16.512431120446177"/>
        <n v="19.185127564907393"/>
        <n v="19.75238446372795"/>
        <n v="14.992349216790304"/>
        <n v="18.189813900132215"/>
        <n v="17.67025840775398"/>
        <n v="18.553628408784363"/>
        <n v="19.589420799631078"/>
        <n v="14.337779767724934"/>
        <n v="14.572440546466519"/>
        <n v="17.950419185130364"/>
        <n v="16.401367255945466"/>
        <n v="17.108724180222072"/>
        <n v="17.652433135313405"/>
        <n v="17.059205462973896"/>
        <n v="19.92193117497148"/>
        <n v="15.801108000799067"/>
        <n v="17.264563375422682"/>
        <n v="16.056524938447225"/>
        <n v="16.423256883921791"/>
        <n v="17.610292772445963"/>
        <n v="18.053148301698982"/>
        <n v="13.082090287312587"/>
        <n v="16.548488389191526"/>
        <n v="16.821669829165565"/>
        <n v="18.912896252767929"/>
        <n v="11.23198275256877"/>
        <n v="15.637452318001349"/>
        <n v="19.466193791459283"/>
        <n v="18.203288786295403"/>
        <n v="13.618099737124188"/>
        <n v="17.26538862847617"/>
        <n v="15.304371025015923"/>
        <n v="16.411348608910586"/>
        <n v="18.706628300517327"/>
        <n v="12.742738810730817"/>
        <n v="19.026574134418222"/>
        <n v="15.839176320537135"/>
        <n v="17.927675301525785"/>
        <n v="16.069720480391116"/>
        <n v="19.727374806364303"/>
        <n v="16.889044889405064"/>
        <n v="16.309099267089127"/>
        <n v="15.058048908803379"/>
        <n v="17.740865378038603"/>
        <n v="17.89420860909388"/>
        <n v="16.27511447065158"/>
        <n v="13.708060833090812"/>
        <n v="14.190800401461026"/>
        <n v="15.864875656303504"/>
        <n v="17.104134635526798"/>
        <n v="19.570875087215928"/>
        <n v="17.983410512341237"/>
        <n v="13.744544356487417"/>
        <n v="18.166443980296357"/>
        <n v="16.765898919707524"/>
        <n v="17.912132789452027"/>
        <n v="20.023541521230683"/>
        <n v="19.067215363511657"/>
        <n v="18.462404679483562"/>
        <n v="20.630676133633052"/>
        <n v="18.26218788176115"/>
        <n v="15.930649869244029"/>
        <n v="18.041335784504604"/>
        <n v="19.775366471749727"/>
        <n v="17.188983711262917"/>
        <n v="14.092887263873765"/>
        <n v="20.483024296966988"/>
        <n v="12.656431304061822"/>
        <n v="16.692896572247317"/>
        <n v="18.903242860743426"/>
        <n v="20.656995702972939"/>
        <n v="19.59905418252098"/>
        <n v="18.130769749107163"/>
        <n v="15.500923261601326"/>
        <n v="15.886491841187462"/>
        <n v="16.920666215969256"/>
        <n v="21.36231277340449"/>
        <n v="17.699292730459444"/>
        <n v="14.273984861929826"/>
        <n v="17.876437608609475"/>
        <n v="14.159684100694896"/>
        <n v="13.817573013462967"/>
        <n v="15.645800657682841"/>
        <n v="16.43701290971967"/>
        <n v="21.147731176326783"/>
        <n v="14.983791760933824"/>
        <n v="15.877277353299789"/>
        <n v="18.29740792193558"/>
        <n v="16.445281479979926"/>
        <n v="19.611831543124822"/>
        <n v="18.033368785198682"/>
        <n v="16.500272071630885"/>
        <n v="16.47325214515973"/>
        <n v="18.541643890060385"/>
        <n v="16.446228448404973"/>
        <n v="17.054436677671966"/>
        <n v="15.264198789050129"/>
        <n v="18.664925428298883"/>
      </sharedItems>
    </cacheField>
    <cacheField name="Health_Status" numFmtId="0">
      <sharedItems count="2">
        <s v="Underweight"/>
        <s v="Healthy Weight"/>
      </sharedItems>
    </cacheField>
  </cacheFields>
  <extLst>
    <ext xmlns:x14="http://schemas.microsoft.com/office/spreadsheetml/2009/9/main" uri="{725AE2AE-9491-48be-B2B4-4EB974FC3084}">
      <x14:pivotCacheDefinition pivotCacheId="1684339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x v="0"/>
    <x v="0"/>
    <n v="104.41"/>
    <n v="17.34"/>
    <x v="0"/>
    <x v="0"/>
    <n v="3"/>
    <x v="0"/>
    <x v="0"/>
    <x v="0"/>
    <x v="0"/>
  </r>
  <r>
    <s v="C002"/>
    <x v="1"/>
    <x v="0"/>
    <n v="99.08"/>
    <n v="16.21"/>
    <x v="1"/>
    <x v="1"/>
    <n v="1"/>
    <x v="1"/>
    <x v="1"/>
    <x v="1"/>
    <x v="0"/>
  </r>
  <r>
    <s v="C003"/>
    <x v="2"/>
    <x v="0"/>
    <n v="94.96"/>
    <n v="17.3"/>
    <x v="2"/>
    <x v="2"/>
    <n v="2"/>
    <x v="2"/>
    <x v="1"/>
    <x v="2"/>
    <x v="1"/>
  </r>
  <r>
    <s v="C004"/>
    <x v="3"/>
    <x v="0"/>
    <n v="100.65"/>
    <n v="20.010000000000002"/>
    <x v="3"/>
    <x v="3"/>
    <n v="1"/>
    <x v="3"/>
    <x v="1"/>
    <x v="3"/>
    <x v="1"/>
  </r>
  <r>
    <s v="C005"/>
    <x v="4"/>
    <x v="0"/>
    <n v="90.06"/>
    <n v="12.16"/>
    <x v="1"/>
    <x v="1"/>
    <n v="0"/>
    <x v="4"/>
    <x v="0"/>
    <x v="4"/>
    <x v="0"/>
  </r>
  <r>
    <s v="C006"/>
    <x v="5"/>
    <x v="1"/>
    <n v="108.82"/>
    <n v="21.54"/>
    <x v="1"/>
    <x v="1"/>
    <n v="1"/>
    <x v="4"/>
    <x v="2"/>
    <x v="5"/>
    <x v="0"/>
  </r>
  <r>
    <s v="C007"/>
    <x v="6"/>
    <x v="1"/>
    <n v="110.28"/>
    <n v="21.49"/>
    <x v="4"/>
    <x v="3"/>
    <n v="2"/>
    <x v="5"/>
    <x v="0"/>
    <x v="6"/>
    <x v="0"/>
  </r>
  <r>
    <s v="C008"/>
    <x v="6"/>
    <x v="0"/>
    <n v="102.65"/>
    <n v="19.55"/>
    <x v="3"/>
    <x v="0"/>
    <n v="1"/>
    <x v="6"/>
    <x v="1"/>
    <x v="7"/>
    <x v="1"/>
  </r>
  <r>
    <s v="C009"/>
    <x v="7"/>
    <x v="1"/>
    <n v="91.47"/>
    <n v="16.39"/>
    <x v="2"/>
    <x v="0"/>
    <n v="3"/>
    <x v="7"/>
    <x v="3"/>
    <x v="8"/>
    <x v="1"/>
  </r>
  <r>
    <s v="C010"/>
    <x v="8"/>
    <x v="0"/>
    <n v="111.89"/>
    <n v="17.95"/>
    <x v="0"/>
    <x v="2"/>
    <n v="0"/>
    <x v="7"/>
    <x v="1"/>
    <x v="9"/>
    <x v="0"/>
  </r>
  <r>
    <s v="C011"/>
    <x v="9"/>
    <x v="1"/>
    <n v="96.25"/>
    <n v="13.5"/>
    <x v="2"/>
    <x v="4"/>
    <n v="0"/>
    <x v="2"/>
    <x v="4"/>
    <x v="10"/>
    <x v="0"/>
  </r>
  <r>
    <s v="C012"/>
    <x v="10"/>
    <x v="0"/>
    <n v="96.02"/>
    <n v="16.55"/>
    <x v="3"/>
    <x v="3"/>
    <n v="2"/>
    <x v="8"/>
    <x v="3"/>
    <x v="11"/>
    <x v="0"/>
  </r>
  <r>
    <s v="C013"/>
    <x v="1"/>
    <x v="1"/>
    <n v="97.37"/>
    <n v="15.55"/>
    <x v="1"/>
    <x v="1"/>
    <n v="2"/>
    <x v="6"/>
    <x v="2"/>
    <x v="12"/>
    <x v="0"/>
  </r>
  <r>
    <s v="C014"/>
    <x v="11"/>
    <x v="1"/>
    <n v="108.39"/>
    <n v="20.100000000000001"/>
    <x v="1"/>
    <x v="0"/>
    <n v="3"/>
    <x v="2"/>
    <x v="2"/>
    <x v="13"/>
    <x v="0"/>
  </r>
  <r>
    <s v="C015"/>
    <x v="9"/>
    <x v="1"/>
    <n v="92.58"/>
    <n v="15.13"/>
    <x v="3"/>
    <x v="0"/>
    <n v="2"/>
    <x v="9"/>
    <x v="1"/>
    <x v="14"/>
    <x v="0"/>
  </r>
  <r>
    <s v="C016"/>
    <x v="12"/>
    <x v="1"/>
    <n v="99.65"/>
    <n v="16.940000000000001"/>
    <x v="0"/>
    <x v="2"/>
    <n v="3"/>
    <x v="10"/>
    <x v="1"/>
    <x v="15"/>
    <x v="0"/>
  </r>
  <r>
    <s v="C017"/>
    <x v="12"/>
    <x v="0"/>
    <n v="98.91"/>
    <n v="19.489999999999998"/>
    <x v="1"/>
    <x v="3"/>
    <n v="3"/>
    <x v="11"/>
    <x v="1"/>
    <x v="16"/>
    <x v="1"/>
  </r>
  <r>
    <s v="C018"/>
    <x v="9"/>
    <x v="0"/>
    <n v="96.42"/>
    <n v="14.69"/>
    <x v="0"/>
    <x v="2"/>
    <n v="2"/>
    <x v="0"/>
    <x v="3"/>
    <x v="17"/>
    <x v="0"/>
  </r>
  <r>
    <s v="C019"/>
    <x v="13"/>
    <x v="0"/>
    <n v="109.26"/>
    <n v="20.61"/>
    <x v="2"/>
    <x v="0"/>
    <n v="1"/>
    <x v="12"/>
    <x v="2"/>
    <x v="18"/>
    <x v="0"/>
  </r>
  <r>
    <s v="C020"/>
    <x v="1"/>
    <x v="1"/>
    <n v="98.22"/>
    <n v="15.49"/>
    <x v="0"/>
    <x v="0"/>
    <n v="0"/>
    <x v="7"/>
    <x v="1"/>
    <x v="19"/>
    <x v="0"/>
  </r>
  <r>
    <s v="C021"/>
    <x v="2"/>
    <x v="0"/>
    <n v="101.02"/>
    <n v="16.760000000000002"/>
    <x v="2"/>
    <x v="0"/>
    <n v="2"/>
    <x v="13"/>
    <x v="0"/>
    <x v="20"/>
    <x v="0"/>
  </r>
  <r>
    <s v="C022"/>
    <x v="14"/>
    <x v="1"/>
    <n v="111.44"/>
    <n v="21.87"/>
    <x v="4"/>
    <x v="1"/>
    <n v="2"/>
    <x v="13"/>
    <x v="2"/>
    <x v="21"/>
    <x v="0"/>
  </r>
  <r>
    <s v="C023"/>
    <x v="15"/>
    <x v="1"/>
    <n v="103.85"/>
    <n v="19.47"/>
    <x v="3"/>
    <x v="4"/>
    <n v="3"/>
    <x v="14"/>
    <x v="2"/>
    <x v="22"/>
    <x v="0"/>
  </r>
  <r>
    <s v="C024"/>
    <x v="2"/>
    <x v="0"/>
    <n v="102.67"/>
    <n v="13.79"/>
    <x v="4"/>
    <x v="1"/>
    <n v="1"/>
    <x v="12"/>
    <x v="1"/>
    <x v="23"/>
    <x v="0"/>
  </r>
  <r>
    <s v="C025"/>
    <x v="6"/>
    <x v="1"/>
    <n v="107.91"/>
    <n v="19.27"/>
    <x v="4"/>
    <x v="3"/>
    <n v="0"/>
    <x v="7"/>
    <x v="2"/>
    <x v="24"/>
    <x v="0"/>
  </r>
  <r>
    <s v="C026"/>
    <x v="16"/>
    <x v="0"/>
    <n v="96.67"/>
    <n v="15.72"/>
    <x v="2"/>
    <x v="1"/>
    <n v="2"/>
    <x v="0"/>
    <x v="3"/>
    <x v="25"/>
    <x v="0"/>
  </r>
  <r>
    <s v="C027"/>
    <x v="2"/>
    <x v="1"/>
    <n v="101.41"/>
    <n v="19.45"/>
    <x v="1"/>
    <x v="4"/>
    <n v="2"/>
    <x v="13"/>
    <x v="0"/>
    <x v="26"/>
    <x v="1"/>
  </r>
  <r>
    <s v="C028"/>
    <x v="10"/>
    <x v="0"/>
    <n v="102.28"/>
    <n v="11.75"/>
    <x v="3"/>
    <x v="1"/>
    <n v="1"/>
    <x v="6"/>
    <x v="2"/>
    <x v="27"/>
    <x v="0"/>
  </r>
  <r>
    <s v="C029"/>
    <x v="15"/>
    <x v="1"/>
    <n v="105.06"/>
    <n v="17.260000000000002"/>
    <x v="4"/>
    <x v="1"/>
    <n v="2"/>
    <x v="7"/>
    <x v="1"/>
    <x v="28"/>
    <x v="0"/>
  </r>
  <r>
    <s v="C030"/>
    <x v="17"/>
    <x v="1"/>
    <n v="103.22"/>
    <n v="20.74"/>
    <x v="3"/>
    <x v="0"/>
    <n v="3"/>
    <x v="10"/>
    <x v="0"/>
    <x v="29"/>
    <x v="1"/>
  </r>
  <r>
    <s v="C031"/>
    <x v="15"/>
    <x v="0"/>
    <n v="105.42"/>
    <n v="20.23"/>
    <x v="4"/>
    <x v="3"/>
    <n v="2"/>
    <x v="15"/>
    <x v="4"/>
    <x v="30"/>
    <x v="0"/>
  </r>
  <r>
    <s v="C032"/>
    <x v="10"/>
    <x v="1"/>
    <n v="97.29"/>
    <n v="12.89"/>
    <x v="4"/>
    <x v="0"/>
    <n v="2"/>
    <x v="6"/>
    <x v="1"/>
    <x v="31"/>
    <x v="0"/>
  </r>
  <r>
    <s v="C033"/>
    <x v="15"/>
    <x v="1"/>
    <n v="106.22"/>
    <n v="19.48"/>
    <x v="4"/>
    <x v="2"/>
    <n v="0"/>
    <x v="16"/>
    <x v="0"/>
    <x v="32"/>
    <x v="0"/>
  </r>
  <r>
    <s v="C034"/>
    <x v="14"/>
    <x v="0"/>
    <n v="114.63"/>
    <n v="20.11"/>
    <x v="3"/>
    <x v="1"/>
    <n v="0"/>
    <x v="7"/>
    <x v="4"/>
    <x v="33"/>
    <x v="0"/>
  </r>
  <r>
    <s v="C035"/>
    <x v="16"/>
    <x v="0"/>
    <n v="93.15"/>
    <n v="14.24"/>
    <x v="0"/>
    <x v="1"/>
    <n v="2"/>
    <x v="6"/>
    <x v="1"/>
    <x v="34"/>
    <x v="0"/>
  </r>
  <r>
    <s v="C036"/>
    <x v="8"/>
    <x v="0"/>
    <n v="102.36"/>
    <n v="19.600000000000001"/>
    <x v="0"/>
    <x v="0"/>
    <n v="0"/>
    <x v="4"/>
    <x v="4"/>
    <x v="35"/>
    <x v="1"/>
  </r>
  <r>
    <s v="C037"/>
    <x v="17"/>
    <x v="0"/>
    <n v="105.34"/>
    <n v="14.14"/>
    <x v="4"/>
    <x v="2"/>
    <n v="0"/>
    <x v="7"/>
    <x v="2"/>
    <x v="36"/>
    <x v="0"/>
  </r>
  <r>
    <s v="C038"/>
    <x v="18"/>
    <x v="0"/>
    <n v="96.26"/>
    <n v="17.63"/>
    <x v="2"/>
    <x v="2"/>
    <n v="2"/>
    <x v="17"/>
    <x v="2"/>
    <x v="37"/>
    <x v="1"/>
  </r>
  <r>
    <s v="C039"/>
    <x v="7"/>
    <x v="1"/>
    <n v="97.25"/>
    <n v="14.98"/>
    <x v="2"/>
    <x v="4"/>
    <n v="3"/>
    <x v="18"/>
    <x v="1"/>
    <x v="38"/>
    <x v="0"/>
  </r>
  <r>
    <s v="C040"/>
    <x v="19"/>
    <x v="1"/>
    <n v="108.23"/>
    <n v="21"/>
    <x v="2"/>
    <x v="4"/>
    <n v="0"/>
    <x v="2"/>
    <x v="1"/>
    <x v="39"/>
    <x v="0"/>
  </r>
  <r>
    <s v="C041"/>
    <x v="20"/>
    <x v="1"/>
    <n v="97"/>
    <n v="15.12"/>
    <x v="4"/>
    <x v="3"/>
    <n v="1"/>
    <x v="17"/>
    <x v="3"/>
    <x v="40"/>
    <x v="0"/>
  </r>
  <r>
    <s v="C042"/>
    <x v="21"/>
    <x v="1"/>
    <n v="107.27"/>
    <n v="22.7"/>
    <x v="4"/>
    <x v="3"/>
    <n v="0"/>
    <x v="7"/>
    <x v="0"/>
    <x v="41"/>
    <x v="1"/>
  </r>
  <r>
    <s v="C043"/>
    <x v="22"/>
    <x v="1"/>
    <n v="112.46"/>
    <n v="21.36"/>
    <x v="3"/>
    <x v="3"/>
    <n v="1"/>
    <x v="8"/>
    <x v="1"/>
    <x v="42"/>
    <x v="0"/>
  </r>
  <r>
    <s v="C044"/>
    <x v="23"/>
    <x v="1"/>
    <n v="103.32"/>
    <n v="17.41"/>
    <x v="0"/>
    <x v="3"/>
    <n v="2"/>
    <x v="12"/>
    <x v="2"/>
    <x v="43"/>
    <x v="0"/>
  </r>
  <r>
    <s v="C045"/>
    <x v="6"/>
    <x v="0"/>
    <n v="107.31"/>
    <n v="17.34"/>
    <x v="0"/>
    <x v="2"/>
    <n v="0"/>
    <x v="19"/>
    <x v="3"/>
    <x v="44"/>
    <x v="0"/>
  </r>
  <r>
    <s v="C046"/>
    <x v="1"/>
    <x v="1"/>
    <n v="99.12"/>
    <n v="17.43"/>
    <x v="2"/>
    <x v="4"/>
    <n v="3"/>
    <x v="9"/>
    <x v="0"/>
    <x v="45"/>
    <x v="0"/>
  </r>
  <r>
    <s v="C047"/>
    <x v="20"/>
    <x v="1"/>
    <n v="93.16"/>
    <n v="15.53"/>
    <x v="3"/>
    <x v="0"/>
    <n v="0"/>
    <x v="7"/>
    <x v="1"/>
    <x v="46"/>
    <x v="0"/>
  </r>
  <r>
    <s v="C048"/>
    <x v="24"/>
    <x v="1"/>
    <n v="111.49"/>
    <n v="20.23"/>
    <x v="0"/>
    <x v="3"/>
    <n v="1"/>
    <x v="9"/>
    <x v="3"/>
    <x v="47"/>
    <x v="0"/>
  </r>
  <r>
    <s v="C049"/>
    <x v="25"/>
    <x v="0"/>
    <n v="108.71"/>
    <n v="16.2"/>
    <x v="3"/>
    <x v="1"/>
    <n v="3"/>
    <x v="20"/>
    <x v="3"/>
    <x v="48"/>
    <x v="0"/>
  </r>
  <r>
    <s v="C050"/>
    <x v="26"/>
    <x v="0"/>
    <n v="97.21"/>
    <n v="13.41"/>
    <x v="4"/>
    <x v="2"/>
    <n v="1"/>
    <x v="4"/>
    <x v="1"/>
    <x v="49"/>
    <x v="0"/>
  </r>
  <r>
    <s v="C051"/>
    <x v="1"/>
    <x v="0"/>
    <n v="98.46"/>
    <n v="15.38"/>
    <x v="2"/>
    <x v="0"/>
    <n v="2"/>
    <x v="0"/>
    <x v="0"/>
    <x v="50"/>
    <x v="0"/>
  </r>
  <r>
    <s v="C052"/>
    <x v="23"/>
    <x v="0"/>
    <n v="100.6"/>
    <n v="17.309999999999999"/>
    <x v="1"/>
    <x v="2"/>
    <n v="0"/>
    <x v="2"/>
    <x v="4"/>
    <x v="51"/>
    <x v="0"/>
  </r>
  <r>
    <s v="C053"/>
    <x v="3"/>
    <x v="0"/>
    <n v="96.54"/>
    <n v="18.239999999999998"/>
    <x v="4"/>
    <x v="2"/>
    <n v="1"/>
    <x v="13"/>
    <x v="4"/>
    <x v="52"/>
    <x v="1"/>
  </r>
  <r>
    <s v="C054"/>
    <x v="13"/>
    <x v="1"/>
    <n v="110.58"/>
    <n v="21.99"/>
    <x v="2"/>
    <x v="3"/>
    <n v="0"/>
    <x v="4"/>
    <x v="0"/>
    <x v="53"/>
    <x v="0"/>
  </r>
  <r>
    <s v="C055"/>
    <x v="27"/>
    <x v="0"/>
    <n v="114.47"/>
    <n v="18.010000000000002"/>
    <x v="0"/>
    <x v="2"/>
    <n v="0"/>
    <x v="2"/>
    <x v="3"/>
    <x v="54"/>
    <x v="0"/>
  </r>
  <r>
    <s v="C056"/>
    <x v="18"/>
    <x v="0"/>
    <n v="96.28"/>
    <n v="16.84"/>
    <x v="4"/>
    <x v="0"/>
    <n v="3"/>
    <x v="19"/>
    <x v="2"/>
    <x v="55"/>
    <x v="0"/>
  </r>
  <r>
    <s v="C057"/>
    <x v="8"/>
    <x v="0"/>
    <n v="104.76"/>
    <n v="18.399999999999999"/>
    <x v="4"/>
    <x v="0"/>
    <n v="1"/>
    <x v="16"/>
    <x v="0"/>
    <x v="56"/>
    <x v="0"/>
  </r>
  <r>
    <s v="C058"/>
    <x v="25"/>
    <x v="1"/>
    <n v="105.35"/>
    <n v="19.88"/>
    <x v="0"/>
    <x v="0"/>
    <n v="2"/>
    <x v="5"/>
    <x v="2"/>
    <x v="57"/>
    <x v="0"/>
  </r>
  <r>
    <s v="C059"/>
    <x v="28"/>
    <x v="1"/>
    <n v="110.75"/>
    <n v="24.56"/>
    <x v="4"/>
    <x v="4"/>
    <n v="1"/>
    <x v="17"/>
    <x v="0"/>
    <x v="58"/>
    <x v="1"/>
  </r>
  <r>
    <s v="C060"/>
    <x v="14"/>
    <x v="1"/>
    <n v="108"/>
    <n v="22.24"/>
    <x v="3"/>
    <x v="4"/>
    <n v="2"/>
    <x v="20"/>
    <x v="1"/>
    <x v="59"/>
    <x v="1"/>
  </r>
  <r>
    <s v="C061"/>
    <x v="10"/>
    <x v="0"/>
    <n v="98.63"/>
    <n v="17.96"/>
    <x v="1"/>
    <x v="3"/>
    <n v="2"/>
    <x v="21"/>
    <x v="3"/>
    <x v="60"/>
    <x v="0"/>
  </r>
  <r>
    <s v="C062"/>
    <x v="0"/>
    <x v="0"/>
    <n v="103.57"/>
    <n v="22.13"/>
    <x v="2"/>
    <x v="0"/>
    <n v="0"/>
    <x v="2"/>
    <x v="0"/>
    <x v="61"/>
    <x v="1"/>
  </r>
  <r>
    <s v="C063"/>
    <x v="7"/>
    <x v="1"/>
    <n v="92.72"/>
    <n v="15.7"/>
    <x v="4"/>
    <x v="3"/>
    <n v="1"/>
    <x v="19"/>
    <x v="3"/>
    <x v="62"/>
    <x v="0"/>
  </r>
  <r>
    <s v="C064"/>
    <x v="14"/>
    <x v="1"/>
    <n v="113.3"/>
    <n v="20.45"/>
    <x v="3"/>
    <x v="0"/>
    <n v="2"/>
    <x v="19"/>
    <x v="4"/>
    <x v="63"/>
    <x v="0"/>
  </r>
  <r>
    <s v="C065"/>
    <x v="12"/>
    <x v="1"/>
    <n v="104.84"/>
    <n v="19.829999999999998"/>
    <x v="4"/>
    <x v="3"/>
    <n v="0"/>
    <x v="7"/>
    <x v="3"/>
    <x v="64"/>
    <x v="0"/>
  </r>
  <r>
    <s v="C066"/>
    <x v="27"/>
    <x v="0"/>
    <n v="104.56"/>
    <n v="21.62"/>
    <x v="4"/>
    <x v="1"/>
    <n v="1"/>
    <x v="12"/>
    <x v="0"/>
    <x v="65"/>
    <x v="1"/>
  </r>
  <r>
    <s v="C067"/>
    <x v="20"/>
    <x v="1"/>
    <n v="97.32"/>
    <n v="16.28"/>
    <x v="3"/>
    <x v="4"/>
    <n v="0"/>
    <x v="7"/>
    <x v="0"/>
    <x v="66"/>
    <x v="0"/>
  </r>
  <r>
    <s v="C068"/>
    <x v="10"/>
    <x v="0"/>
    <n v="103.58"/>
    <n v="15.12"/>
    <x v="4"/>
    <x v="3"/>
    <n v="2"/>
    <x v="22"/>
    <x v="2"/>
    <x v="67"/>
    <x v="0"/>
  </r>
  <r>
    <s v="C069"/>
    <x v="29"/>
    <x v="1"/>
    <n v="105.92"/>
    <n v="22.98"/>
    <x v="3"/>
    <x v="3"/>
    <n v="0"/>
    <x v="7"/>
    <x v="4"/>
    <x v="68"/>
    <x v="1"/>
  </r>
  <r>
    <s v="C070"/>
    <x v="30"/>
    <x v="1"/>
    <n v="104.76"/>
    <n v="13.89"/>
    <x v="2"/>
    <x v="4"/>
    <n v="0"/>
    <x v="19"/>
    <x v="2"/>
    <x v="69"/>
    <x v="0"/>
  </r>
  <r>
    <s v="C071"/>
    <x v="11"/>
    <x v="1"/>
    <n v="108.22"/>
    <n v="19.55"/>
    <x v="0"/>
    <x v="1"/>
    <n v="2"/>
    <x v="9"/>
    <x v="2"/>
    <x v="70"/>
    <x v="0"/>
  </r>
  <r>
    <s v="C072"/>
    <x v="10"/>
    <x v="0"/>
    <n v="97.69"/>
    <n v="18.04"/>
    <x v="2"/>
    <x v="0"/>
    <n v="2"/>
    <x v="23"/>
    <x v="0"/>
    <x v="71"/>
    <x v="1"/>
  </r>
  <r>
    <s v="C073"/>
    <x v="6"/>
    <x v="0"/>
    <n v="104.99"/>
    <n v="22.77"/>
    <x v="2"/>
    <x v="0"/>
    <n v="1"/>
    <x v="20"/>
    <x v="1"/>
    <x v="72"/>
    <x v="1"/>
  </r>
  <r>
    <s v="C074"/>
    <x v="9"/>
    <x v="1"/>
    <n v="88.93"/>
    <n v="15.5"/>
    <x v="2"/>
    <x v="3"/>
    <n v="3"/>
    <x v="24"/>
    <x v="1"/>
    <x v="73"/>
    <x v="1"/>
  </r>
  <r>
    <s v="C075"/>
    <x v="31"/>
    <x v="0"/>
    <n v="105.5"/>
    <n v="20.18"/>
    <x v="0"/>
    <x v="4"/>
    <n v="3"/>
    <x v="13"/>
    <x v="3"/>
    <x v="74"/>
    <x v="0"/>
  </r>
  <r>
    <s v="C076"/>
    <x v="12"/>
    <x v="1"/>
    <n v="101.47"/>
    <n v="15.96"/>
    <x v="0"/>
    <x v="1"/>
    <n v="0"/>
    <x v="7"/>
    <x v="0"/>
    <x v="75"/>
    <x v="0"/>
  </r>
  <r>
    <s v="C077"/>
    <x v="15"/>
    <x v="1"/>
    <n v="103.84"/>
    <n v="17.13"/>
    <x v="1"/>
    <x v="4"/>
    <n v="1"/>
    <x v="16"/>
    <x v="2"/>
    <x v="76"/>
    <x v="0"/>
  </r>
  <r>
    <s v="C078"/>
    <x v="21"/>
    <x v="1"/>
    <n v="103.74"/>
    <n v="18.21"/>
    <x v="0"/>
    <x v="2"/>
    <n v="0"/>
    <x v="19"/>
    <x v="2"/>
    <x v="77"/>
    <x v="0"/>
  </r>
  <r>
    <s v="C079"/>
    <x v="19"/>
    <x v="1"/>
    <n v="101.32"/>
    <n v="21.93"/>
    <x v="4"/>
    <x v="0"/>
    <n v="2"/>
    <x v="5"/>
    <x v="1"/>
    <x v="78"/>
    <x v="1"/>
  </r>
  <r>
    <s v="C080"/>
    <x v="22"/>
    <x v="0"/>
    <n v="109.83"/>
    <n v="21.35"/>
    <x v="2"/>
    <x v="0"/>
    <n v="1"/>
    <x v="16"/>
    <x v="3"/>
    <x v="79"/>
    <x v="0"/>
  </r>
  <r>
    <s v="C081"/>
    <x v="11"/>
    <x v="1"/>
    <n v="112.98"/>
    <n v="18.22"/>
    <x v="2"/>
    <x v="1"/>
    <n v="1"/>
    <x v="17"/>
    <x v="0"/>
    <x v="80"/>
    <x v="0"/>
  </r>
  <r>
    <s v="C082"/>
    <x v="21"/>
    <x v="0"/>
    <n v="104.87"/>
    <n v="19.66"/>
    <x v="0"/>
    <x v="4"/>
    <n v="2"/>
    <x v="20"/>
    <x v="4"/>
    <x v="81"/>
    <x v="0"/>
  </r>
  <r>
    <s v="C083"/>
    <x v="16"/>
    <x v="1"/>
    <n v="100.81"/>
    <n v="14.39"/>
    <x v="3"/>
    <x v="4"/>
    <n v="2"/>
    <x v="21"/>
    <x v="0"/>
    <x v="82"/>
    <x v="0"/>
  </r>
  <r>
    <s v="C084"/>
    <x v="32"/>
    <x v="0"/>
    <n v="101.16"/>
    <n v="14.14"/>
    <x v="3"/>
    <x v="0"/>
    <n v="3"/>
    <x v="6"/>
    <x v="0"/>
    <x v="83"/>
    <x v="0"/>
  </r>
  <r>
    <s v="C085"/>
    <x v="13"/>
    <x v="0"/>
    <n v="115.19"/>
    <n v="20.76"/>
    <x v="0"/>
    <x v="4"/>
    <n v="0"/>
    <x v="8"/>
    <x v="0"/>
    <x v="84"/>
    <x v="0"/>
  </r>
  <r>
    <s v="C086"/>
    <x v="14"/>
    <x v="1"/>
    <n v="110.72"/>
    <n v="20.149999999999999"/>
    <x v="1"/>
    <x v="1"/>
    <n v="1"/>
    <x v="12"/>
    <x v="4"/>
    <x v="85"/>
    <x v="0"/>
  </r>
  <r>
    <s v="C087"/>
    <x v="14"/>
    <x v="0"/>
    <n v="106.73"/>
    <n v="24.09"/>
    <x v="1"/>
    <x v="1"/>
    <n v="3"/>
    <x v="17"/>
    <x v="4"/>
    <x v="86"/>
    <x v="1"/>
  </r>
  <r>
    <s v="C088"/>
    <x v="9"/>
    <x v="0"/>
    <n v="99.72"/>
    <n v="14.9"/>
    <x v="4"/>
    <x v="0"/>
    <n v="3"/>
    <x v="23"/>
    <x v="1"/>
    <x v="87"/>
    <x v="0"/>
  </r>
  <r>
    <s v="C089"/>
    <x v="16"/>
    <x v="0"/>
    <n v="96.45"/>
    <n v="14.77"/>
    <x v="4"/>
    <x v="0"/>
    <n v="0"/>
    <x v="2"/>
    <x v="3"/>
    <x v="88"/>
    <x v="0"/>
  </r>
  <r>
    <s v="C090"/>
    <x v="29"/>
    <x v="1"/>
    <n v="106.44"/>
    <n v="20.73"/>
    <x v="4"/>
    <x v="2"/>
    <n v="2"/>
    <x v="12"/>
    <x v="0"/>
    <x v="89"/>
    <x v="0"/>
  </r>
  <r>
    <s v="C091"/>
    <x v="32"/>
    <x v="0"/>
    <n v="97.77"/>
    <n v="15.72"/>
    <x v="3"/>
    <x v="3"/>
    <n v="0"/>
    <x v="4"/>
    <x v="0"/>
    <x v="90"/>
    <x v="0"/>
  </r>
  <r>
    <s v="C092"/>
    <x v="33"/>
    <x v="1"/>
    <n v="113.49"/>
    <n v="25.26"/>
    <x v="1"/>
    <x v="4"/>
    <n v="3"/>
    <x v="25"/>
    <x v="4"/>
    <x v="91"/>
    <x v="1"/>
  </r>
  <r>
    <s v="C093"/>
    <x v="4"/>
    <x v="1"/>
    <n v="92.08"/>
    <n v="15.29"/>
    <x v="4"/>
    <x v="1"/>
    <n v="2"/>
    <x v="21"/>
    <x v="2"/>
    <x v="92"/>
    <x v="0"/>
  </r>
  <r>
    <s v="C094"/>
    <x v="9"/>
    <x v="0"/>
    <n v="96.42"/>
    <n v="15.34"/>
    <x v="4"/>
    <x v="2"/>
    <n v="2"/>
    <x v="4"/>
    <x v="2"/>
    <x v="93"/>
    <x v="0"/>
  </r>
  <r>
    <s v="C095"/>
    <x v="28"/>
    <x v="0"/>
    <n v="108.1"/>
    <n v="19.25"/>
    <x v="0"/>
    <x v="3"/>
    <n v="1"/>
    <x v="8"/>
    <x v="0"/>
    <x v="94"/>
    <x v="0"/>
  </r>
  <r>
    <s v="C096"/>
    <x v="27"/>
    <x v="0"/>
    <n v="109.15"/>
    <n v="22.09"/>
    <x v="0"/>
    <x v="4"/>
    <n v="0"/>
    <x v="2"/>
    <x v="1"/>
    <x v="95"/>
    <x v="1"/>
  </r>
  <r>
    <s v="C097"/>
    <x v="19"/>
    <x v="1"/>
    <n v="107.71"/>
    <n v="19.079999999999998"/>
    <x v="1"/>
    <x v="0"/>
    <n v="2"/>
    <x v="22"/>
    <x v="2"/>
    <x v="96"/>
    <x v="0"/>
  </r>
  <r>
    <s v="C098"/>
    <x v="13"/>
    <x v="1"/>
    <n v="112.41"/>
    <n v="21.55"/>
    <x v="3"/>
    <x v="4"/>
    <n v="0"/>
    <x v="4"/>
    <x v="0"/>
    <x v="97"/>
    <x v="0"/>
  </r>
  <r>
    <s v="C099"/>
    <x v="21"/>
    <x v="1"/>
    <n v="110.12"/>
    <n v="18.510000000000002"/>
    <x v="1"/>
    <x v="0"/>
    <n v="0"/>
    <x v="4"/>
    <x v="3"/>
    <x v="98"/>
    <x v="0"/>
  </r>
  <r>
    <s v="C100"/>
    <x v="11"/>
    <x v="1"/>
    <n v="106.6"/>
    <n v="21.21"/>
    <x v="1"/>
    <x v="3"/>
    <n v="2"/>
    <x v="26"/>
    <x v="3"/>
    <x v="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BC5D1-C378-41C1-9C18-5249D3155223}"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_Month" colHeaderCaption="Health_Status">
  <location ref="A3:D39" firstHeaderRow="1" firstDataRow="2" firstDataCol="1"/>
  <pivotFields count="12">
    <pivotField showAll="0"/>
    <pivotField axis="axisRow"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axis="axisCol" dataField="1" showAll="0">
      <items count="3">
        <item x="1"/>
        <item x="0"/>
        <item t="default"/>
      </items>
    </pivotField>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11"/>
  </colFields>
  <colItems count="3">
    <i>
      <x/>
    </i>
    <i>
      <x v="1"/>
    </i>
    <i t="grand">
      <x/>
    </i>
  </colItems>
  <dataFields count="1">
    <dataField name="Count of Health_Status" fld="11" subtotal="count" baseField="0" baseItem="0"/>
  </dataFields>
  <formats count="7">
    <format dxfId="22">
      <pivotArea type="all" dataOnly="0" outline="0" fieldPosition="0"/>
    </format>
    <format dxfId="21">
      <pivotArea dataOnly="0" labelOnly="1" fieldPosition="0">
        <references count="1">
          <reference field="11" count="1">
            <x v="0"/>
          </reference>
        </references>
      </pivotArea>
    </format>
    <format dxfId="20">
      <pivotArea dataOnly="0" labelOnly="1" fieldPosition="0">
        <references count="1">
          <reference field="11" count="1">
            <x v="1"/>
          </reference>
        </references>
      </pivotArea>
    </format>
    <format dxfId="19">
      <pivotArea dataOnly="0" labelOnly="1" grandCol="1" outline="0" fieldPosition="0"/>
    </format>
    <format dxfId="18">
      <pivotArea field="11" type="button" dataOnly="0" labelOnly="1" outline="0" axis="axisCol" fieldPosition="0"/>
    </format>
    <format dxfId="17">
      <pivotArea type="origin" dataOnly="0" labelOnly="1" outline="0" fieldPosition="0"/>
    </format>
    <format dxfId="16">
      <pivotArea field="1" type="button" dataOnly="0" labelOnly="1" outline="0" axis="axisRow" fieldPosition="0"/>
    </format>
  </formats>
  <chartFormats count="4">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5" format="4" series="1">
      <pivotArea type="data" outline="0" fieldPosition="0">
        <references count="2">
          <reference field="4294967294" count="1" selected="0">
            <x v="0"/>
          </reference>
          <reference field="11" count="1" selected="0">
            <x v="0"/>
          </reference>
        </references>
      </pivotArea>
    </chartFormat>
    <chartFormat chart="5"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2353FE-CF60-4982-9630-2A2BF388AD03}"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aily_Fruit_Serving" colHeaderCaption="Daily_Veggie_Serving">
  <location ref="A3:G10" firstHeaderRow="1" firstDataRow="2" firstDataCol="1"/>
  <pivotFields count="12">
    <pivotField showAll="0"/>
    <pivotField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items count="28">
        <item x="19"/>
        <item x="2"/>
        <item x="16"/>
        <item x="7"/>
        <item x="4"/>
        <item x="8"/>
        <item x="20"/>
        <item x="0"/>
        <item x="6"/>
        <item x="1"/>
        <item x="3"/>
        <item x="9"/>
        <item x="17"/>
        <item x="22"/>
        <item x="13"/>
        <item x="12"/>
        <item x="10"/>
        <item x="23"/>
        <item x="15"/>
        <item x="26"/>
        <item x="21"/>
        <item x="5"/>
        <item x="14"/>
        <item x="25"/>
        <item x="11"/>
        <item x="18"/>
        <item x="24"/>
        <item t="default"/>
      </items>
    </pivotField>
    <pivotField showAll="0">
      <items count="6">
        <item x="1"/>
        <item x="2"/>
        <item x="3"/>
        <item x="0"/>
        <item x="4"/>
        <item t="default"/>
      </items>
    </pivotField>
    <pivotField dataField="1" showAll="0"/>
    <pivotField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Average of BMI" fld="10" subtotal="average" baseField="5" baseItem="0"/>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6" type="button" dataOnly="0" labelOnly="1" outline="0" axis="axisCol" fieldPosition="0"/>
    </format>
    <format dxfId="11">
      <pivotArea type="topRight" dataOnly="0" labelOnly="1" outline="0" fieldPosition="0"/>
    </format>
    <format dxfId="10">
      <pivotArea field="5" type="button" dataOnly="0" labelOnly="1" outline="0" axis="axisRow" fieldPosition="0"/>
    </format>
    <format dxfId="9">
      <pivotArea dataOnly="0" labelOnly="1" fieldPosition="0">
        <references count="1">
          <reference field="5" count="0"/>
        </references>
      </pivotArea>
    </format>
    <format dxfId="8">
      <pivotArea dataOnly="0" labelOnly="1" grandRow="1" outline="0" fieldPosition="0"/>
    </format>
    <format dxfId="7">
      <pivotArea dataOnly="0" labelOnly="1" fieldPosition="0">
        <references count="1">
          <reference field="6" count="0"/>
        </references>
      </pivotArea>
    </format>
    <format dxfId="6">
      <pivotArea dataOnly="0" labelOnly="1" grandCol="1" outline="0" fieldPosition="0"/>
    </format>
  </formats>
  <chartFormats count="37">
    <chartFormat chart="10" format="0" series="1">
      <pivotArea type="data" outline="0" fieldPosition="0">
        <references count="2">
          <reference field="4294967294" count="1" selected="0">
            <x v="0"/>
          </reference>
          <reference field="6" count="1" selected="0">
            <x v="0"/>
          </reference>
        </references>
      </pivotArea>
    </chartFormat>
    <chartFormat chart="10" format="1" series="1">
      <pivotArea type="data" outline="0" fieldPosition="0">
        <references count="2">
          <reference field="4294967294" count="1" selected="0">
            <x v="0"/>
          </reference>
          <reference field="6" count="1" selected="0">
            <x v="1"/>
          </reference>
        </references>
      </pivotArea>
    </chartFormat>
    <chartFormat chart="10" format="2" series="1">
      <pivotArea type="data" outline="0" fieldPosition="0">
        <references count="2">
          <reference field="4294967294" count="1" selected="0">
            <x v="0"/>
          </reference>
          <reference field="6" count="1" selected="0">
            <x v="2"/>
          </reference>
        </references>
      </pivotArea>
    </chartFormat>
    <chartFormat chart="10" format="3" series="1">
      <pivotArea type="data" outline="0" fieldPosition="0">
        <references count="2">
          <reference field="4294967294" count="1" selected="0">
            <x v="0"/>
          </reference>
          <reference field="6" count="1" selected="0">
            <x v="3"/>
          </reference>
        </references>
      </pivotArea>
    </chartFormat>
    <chartFormat chart="10" format="4" series="1">
      <pivotArea type="data" outline="0" fieldPosition="0">
        <references count="2">
          <reference field="4294967294" count="1" selected="0">
            <x v="0"/>
          </reference>
          <reference field="6" count="1" selected="0">
            <x v="4"/>
          </reference>
        </references>
      </pivotArea>
    </chartFormat>
    <chartFormat chart="14" format="35" series="1">
      <pivotArea type="data" outline="0" fieldPosition="0">
        <references count="2">
          <reference field="4294967294" count="1" selected="0">
            <x v="0"/>
          </reference>
          <reference field="6" count="1" selected="0">
            <x v="0"/>
          </reference>
        </references>
      </pivotArea>
    </chartFormat>
    <chartFormat chart="14" format="36">
      <pivotArea type="data" outline="0" fieldPosition="0">
        <references count="3">
          <reference field="4294967294" count="1" selected="0">
            <x v="0"/>
          </reference>
          <reference field="5" count="1" selected="0">
            <x v="0"/>
          </reference>
          <reference field="6" count="1" selected="0">
            <x v="0"/>
          </reference>
        </references>
      </pivotArea>
    </chartFormat>
    <chartFormat chart="14" format="37">
      <pivotArea type="data" outline="0" fieldPosition="0">
        <references count="3">
          <reference field="4294967294" count="1" selected="0">
            <x v="0"/>
          </reference>
          <reference field="5" count="1" selected="0">
            <x v="1"/>
          </reference>
          <reference field="6" count="1" selected="0">
            <x v="0"/>
          </reference>
        </references>
      </pivotArea>
    </chartFormat>
    <chartFormat chart="14" format="38">
      <pivotArea type="data" outline="0" fieldPosition="0">
        <references count="3">
          <reference field="4294967294" count="1" selected="0">
            <x v="0"/>
          </reference>
          <reference field="5" count="1" selected="0">
            <x v="2"/>
          </reference>
          <reference field="6" count="1" selected="0">
            <x v="0"/>
          </reference>
        </references>
      </pivotArea>
    </chartFormat>
    <chartFormat chart="14" format="39">
      <pivotArea type="data" outline="0" fieldPosition="0">
        <references count="3">
          <reference field="4294967294" count="1" selected="0">
            <x v="0"/>
          </reference>
          <reference field="5" count="1" selected="0">
            <x v="3"/>
          </reference>
          <reference field="6" count="1" selected="0">
            <x v="0"/>
          </reference>
        </references>
      </pivotArea>
    </chartFormat>
    <chartFormat chart="14" format="40">
      <pivotArea type="data" outline="0" fieldPosition="0">
        <references count="3">
          <reference field="4294967294" count="1" selected="0">
            <x v="0"/>
          </reference>
          <reference field="5" count="1" selected="0">
            <x v="4"/>
          </reference>
          <reference field="6" count="1" selected="0">
            <x v="0"/>
          </reference>
        </references>
      </pivotArea>
    </chartFormat>
    <chartFormat chart="14" format="41" series="1">
      <pivotArea type="data" outline="0" fieldPosition="0">
        <references count="2">
          <reference field="4294967294" count="1" selected="0">
            <x v="0"/>
          </reference>
          <reference field="6" count="1" selected="0">
            <x v="1"/>
          </reference>
        </references>
      </pivotArea>
    </chartFormat>
    <chartFormat chart="14" format="42">
      <pivotArea type="data" outline="0" fieldPosition="0">
        <references count="3">
          <reference field="4294967294" count="1" selected="0">
            <x v="0"/>
          </reference>
          <reference field="5" count="1" selected="0">
            <x v="0"/>
          </reference>
          <reference field="6" count="1" selected="0">
            <x v="1"/>
          </reference>
        </references>
      </pivotArea>
    </chartFormat>
    <chartFormat chart="14" format="43">
      <pivotArea type="data" outline="0" fieldPosition="0">
        <references count="3">
          <reference field="4294967294" count="1" selected="0">
            <x v="0"/>
          </reference>
          <reference field="5" count="1" selected="0">
            <x v="1"/>
          </reference>
          <reference field="6" count="1" selected="0">
            <x v="1"/>
          </reference>
        </references>
      </pivotArea>
    </chartFormat>
    <chartFormat chart="14" format="44">
      <pivotArea type="data" outline="0" fieldPosition="0">
        <references count="3">
          <reference field="4294967294" count="1" selected="0">
            <x v="0"/>
          </reference>
          <reference field="5" count="1" selected="0">
            <x v="2"/>
          </reference>
          <reference field="6" count="1" selected="0">
            <x v="1"/>
          </reference>
        </references>
      </pivotArea>
    </chartFormat>
    <chartFormat chart="14" format="45">
      <pivotArea type="data" outline="0" fieldPosition="0">
        <references count="3">
          <reference field="4294967294" count="1" selected="0">
            <x v="0"/>
          </reference>
          <reference field="5" count="1" selected="0">
            <x v="3"/>
          </reference>
          <reference field="6" count="1" selected="0">
            <x v="1"/>
          </reference>
        </references>
      </pivotArea>
    </chartFormat>
    <chartFormat chart="14" format="46">
      <pivotArea type="data" outline="0" fieldPosition="0">
        <references count="3">
          <reference field="4294967294" count="1" selected="0">
            <x v="0"/>
          </reference>
          <reference field="5" count="1" selected="0">
            <x v="4"/>
          </reference>
          <reference field="6" count="1" selected="0">
            <x v="1"/>
          </reference>
        </references>
      </pivotArea>
    </chartFormat>
    <chartFormat chart="14" format="47" series="1">
      <pivotArea type="data" outline="0" fieldPosition="0">
        <references count="2">
          <reference field="4294967294" count="1" selected="0">
            <x v="0"/>
          </reference>
          <reference field="6" count="1" selected="0">
            <x v="2"/>
          </reference>
        </references>
      </pivotArea>
    </chartFormat>
    <chartFormat chart="14" format="48">
      <pivotArea type="data" outline="0" fieldPosition="0">
        <references count="3">
          <reference field="4294967294" count="1" selected="0">
            <x v="0"/>
          </reference>
          <reference field="5" count="1" selected="0">
            <x v="0"/>
          </reference>
          <reference field="6" count="1" selected="0">
            <x v="2"/>
          </reference>
        </references>
      </pivotArea>
    </chartFormat>
    <chartFormat chart="14" format="49">
      <pivotArea type="data" outline="0" fieldPosition="0">
        <references count="3">
          <reference field="4294967294" count="1" selected="0">
            <x v="0"/>
          </reference>
          <reference field="5" count="1" selected="0">
            <x v="1"/>
          </reference>
          <reference field="6" count="1" selected="0">
            <x v="2"/>
          </reference>
        </references>
      </pivotArea>
    </chartFormat>
    <chartFormat chart="14" format="50">
      <pivotArea type="data" outline="0" fieldPosition="0">
        <references count="3">
          <reference field="4294967294" count="1" selected="0">
            <x v="0"/>
          </reference>
          <reference field="5" count="1" selected="0">
            <x v="2"/>
          </reference>
          <reference field="6" count="1" selected="0">
            <x v="2"/>
          </reference>
        </references>
      </pivotArea>
    </chartFormat>
    <chartFormat chart="14" format="51">
      <pivotArea type="data" outline="0" fieldPosition="0">
        <references count="3">
          <reference field="4294967294" count="1" selected="0">
            <x v="0"/>
          </reference>
          <reference field="5" count="1" selected="0">
            <x v="3"/>
          </reference>
          <reference field="6" count="1" selected="0">
            <x v="2"/>
          </reference>
        </references>
      </pivotArea>
    </chartFormat>
    <chartFormat chart="14" format="52">
      <pivotArea type="data" outline="0" fieldPosition="0">
        <references count="3">
          <reference field="4294967294" count="1" selected="0">
            <x v="0"/>
          </reference>
          <reference field="5" count="1" selected="0">
            <x v="4"/>
          </reference>
          <reference field="6" count="1" selected="0">
            <x v="2"/>
          </reference>
        </references>
      </pivotArea>
    </chartFormat>
    <chartFormat chart="14" format="53" series="1">
      <pivotArea type="data" outline="0" fieldPosition="0">
        <references count="2">
          <reference field="4294967294" count="1" selected="0">
            <x v="0"/>
          </reference>
          <reference field="6" count="1" selected="0">
            <x v="3"/>
          </reference>
        </references>
      </pivotArea>
    </chartFormat>
    <chartFormat chart="14" format="54">
      <pivotArea type="data" outline="0" fieldPosition="0">
        <references count="3">
          <reference field="4294967294" count="1" selected="0">
            <x v="0"/>
          </reference>
          <reference field="5" count="1" selected="0">
            <x v="0"/>
          </reference>
          <reference field="6" count="1" selected="0">
            <x v="3"/>
          </reference>
        </references>
      </pivotArea>
    </chartFormat>
    <chartFormat chart="14" format="55">
      <pivotArea type="data" outline="0" fieldPosition="0">
        <references count="3">
          <reference field="4294967294" count="1" selected="0">
            <x v="0"/>
          </reference>
          <reference field="5" count="1" selected="0">
            <x v="1"/>
          </reference>
          <reference field="6" count="1" selected="0">
            <x v="3"/>
          </reference>
        </references>
      </pivotArea>
    </chartFormat>
    <chartFormat chart="14" format="56">
      <pivotArea type="data" outline="0" fieldPosition="0">
        <references count="3">
          <reference field="4294967294" count="1" selected="0">
            <x v="0"/>
          </reference>
          <reference field="5" count="1" selected="0">
            <x v="2"/>
          </reference>
          <reference field="6" count="1" selected="0">
            <x v="3"/>
          </reference>
        </references>
      </pivotArea>
    </chartFormat>
    <chartFormat chart="14" format="57">
      <pivotArea type="data" outline="0" fieldPosition="0">
        <references count="3">
          <reference field="4294967294" count="1" selected="0">
            <x v="0"/>
          </reference>
          <reference field="5" count="1" selected="0">
            <x v="3"/>
          </reference>
          <reference field="6" count="1" selected="0">
            <x v="3"/>
          </reference>
        </references>
      </pivotArea>
    </chartFormat>
    <chartFormat chart="14" format="58">
      <pivotArea type="data" outline="0" fieldPosition="0">
        <references count="3">
          <reference field="4294967294" count="1" selected="0">
            <x v="0"/>
          </reference>
          <reference field="5" count="1" selected="0">
            <x v="4"/>
          </reference>
          <reference field="6" count="1" selected="0">
            <x v="3"/>
          </reference>
        </references>
      </pivotArea>
    </chartFormat>
    <chartFormat chart="14" format="59" series="1">
      <pivotArea type="data" outline="0" fieldPosition="0">
        <references count="2">
          <reference field="4294967294" count="1" selected="0">
            <x v="0"/>
          </reference>
          <reference field="6" count="1" selected="0">
            <x v="4"/>
          </reference>
        </references>
      </pivotArea>
    </chartFormat>
    <chartFormat chart="14" format="60">
      <pivotArea type="data" outline="0" fieldPosition="0">
        <references count="3">
          <reference field="4294967294" count="1" selected="0">
            <x v="0"/>
          </reference>
          <reference field="5" count="1" selected="0">
            <x v="0"/>
          </reference>
          <reference field="6" count="1" selected="0">
            <x v="4"/>
          </reference>
        </references>
      </pivotArea>
    </chartFormat>
    <chartFormat chart="14" format="61">
      <pivotArea type="data" outline="0" fieldPosition="0">
        <references count="3">
          <reference field="4294967294" count="1" selected="0">
            <x v="0"/>
          </reference>
          <reference field="5" count="1" selected="0">
            <x v="1"/>
          </reference>
          <reference field="6" count="1" selected="0">
            <x v="4"/>
          </reference>
        </references>
      </pivotArea>
    </chartFormat>
    <chartFormat chart="14" format="62">
      <pivotArea type="data" outline="0" fieldPosition="0">
        <references count="3">
          <reference field="4294967294" count="1" selected="0">
            <x v="0"/>
          </reference>
          <reference field="5" count="1" selected="0">
            <x v="2"/>
          </reference>
          <reference field="6" count="1" selected="0">
            <x v="4"/>
          </reference>
        </references>
      </pivotArea>
    </chartFormat>
    <chartFormat chart="14" format="63">
      <pivotArea type="data" outline="0" fieldPosition="0">
        <references count="3">
          <reference field="4294967294" count="1" selected="0">
            <x v="0"/>
          </reference>
          <reference field="5" count="1" selected="0">
            <x v="3"/>
          </reference>
          <reference field="6" count="1" selected="0">
            <x v="4"/>
          </reference>
        </references>
      </pivotArea>
    </chartFormat>
    <chartFormat chart="14" format="64">
      <pivotArea type="data" outline="0" fieldPosition="0">
        <references count="3">
          <reference field="4294967294" count="1" selected="0">
            <x v="0"/>
          </reference>
          <reference field="5" count="1" selected="0">
            <x v="4"/>
          </reference>
          <reference field="6" count="1" selected="0">
            <x v="4"/>
          </reference>
        </references>
      </pivotArea>
    </chartFormat>
    <chartFormat chart="14" format="65"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62854A-68BE-4DAE-88EF-7AC5F93BDC7E}"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E3:G9" firstHeaderRow="0" firstDataRow="1" firstDataCol="1"/>
  <pivotFields count="12">
    <pivotField showAll="0"/>
    <pivotField showAll="0"/>
    <pivotField showAll="0"/>
    <pivotField showAll="0"/>
    <pivotField showAll="0"/>
    <pivotField dataField="1" showAll="0"/>
    <pivotField showAll="0"/>
    <pivotField showAll="0"/>
    <pivotField showAll="0"/>
    <pivotField axis="axisRow" showAll="0">
      <items count="6">
        <item x="1"/>
        <item x="2"/>
        <item x="3"/>
        <item x="0"/>
        <item x="4"/>
        <item t="default"/>
      </items>
    </pivotField>
    <pivotField dataField="1" showAll="0"/>
    <pivotField showAll="0"/>
  </pivotFields>
  <rowFields count="1">
    <field x="9"/>
  </rowFields>
  <rowItems count="6">
    <i>
      <x/>
    </i>
    <i>
      <x v="1"/>
    </i>
    <i>
      <x v="2"/>
    </i>
    <i>
      <x v="3"/>
    </i>
    <i>
      <x v="4"/>
    </i>
    <i t="grand">
      <x/>
    </i>
  </rowItems>
  <colFields count="1">
    <field x="-2"/>
  </colFields>
  <colItems count="2">
    <i>
      <x/>
    </i>
    <i i="1">
      <x v="1"/>
    </i>
  </colItems>
  <dataFields count="2">
    <dataField name="Average of BMI" fld="10" subtotal="average" baseField="9" baseItem="0"/>
    <dataField name="Average of Daily_Fruit_Servings" fld="5" subtotal="average" baseField="9" baseItem="0"/>
  </dataFields>
  <formats count="6">
    <format dxfId="0">
      <pivotArea type="all" dataOnly="0" outline="0" fieldPosition="0"/>
    </format>
    <format dxfId="1">
      <pivotArea outline="0" collapsedLevelsAreSubtotals="1" fieldPosition="0"/>
    </format>
    <format dxfId="2">
      <pivotArea field="9" type="button" dataOnly="0" labelOnly="1" outline="0" axis="axisRow" fieldPosition="0"/>
    </format>
    <format dxfId="3">
      <pivotArea dataOnly="0" labelOnly="1" fieldPosition="0">
        <references count="1">
          <reference field="9" count="0"/>
        </references>
      </pivotArea>
    </format>
    <format dxfId="4">
      <pivotArea dataOnly="0" labelOnly="1" grandRow="1" outline="0" fieldPosition="0"/>
    </format>
    <format dxfId="5">
      <pivotArea dataOnly="0" labelOnly="1" outline="0" fieldPosition="0">
        <references count="1">
          <reference field="4294967294" count="2">
            <x v="0"/>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1DB8AC-168F-4B12-A2D1-23FA317DA8F8}"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6" firstHeaderRow="0" firstDataRow="1" firstDataCol="1"/>
  <pivotFields count="12">
    <pivotField showAll="0"/>
    <pivotField showAll="0"/>
    <pivotField showAll="0"/>
    <pivotField showAll="0"/>
    <pivotField showAll="0"/>
    <pivotField showAll="0"/>
    <pivotField showAll="0"/>
    <pivotField dataField="1" showAll="0"/>
    <pivotField dataField="1" showAll="0"/>
    <pivotField showAll="0"/>
    <pivotField showAll="0">
      <items count="101">
        <item x="27"/>
        <item x="69"/>
        <item x="36"/>
        <item x="23"/>
        <item x="31"/>
        <item x="48"/>
        <item x="54"/>
        <item x="83"/>
        <item x="67"/>
        <item x="82"/>
        <item x="49"/>
        <item x="80"/>
        <item x="9"/>
        <item x="10"/>
        <item x="87"/>
        <item x="4"/>
        <item x="44"/>
        <item x="98"/>
        <item x="33"/>
        <item x="75"/>
        <item x="28"/>
        <item x="84"/>
        <item x="17"/>
        <item x="38"/>
        <item x="50"/>
        <item x="88"/>
        <item x="76"/>
        <item x="0"/>
        <item x="63"/>
        <item x="19"/>
        <item x="40"/>
        <item x="47"/>
        <item x="43"/>
        <item x="12"/>
        <item x="34"/>
        <item x="20"/>
        <item x="85"/>
        <item x="90"/>
        <item x="96"/>
        <item x="94"/>
        <item x="93"/>
        <item x="1"/>
        <item x="24"/>
        <item x="70"/>
        <item x="56"/>
        <item x="25"/>
        <item x="42"/>
        <item x="77"/>
        <item x="97"/>
        <item x="15"/>
        <item x="51"/>
        <item x="13"/>
        <item x="66"/>
        <item x="18"/>
        <item x="32"/>
        <item x="21"/>
        <item x="14"/>
        <item x="6"/>
        <item x="79"/>
        <item x="45"/>
        <item x="81"/>
        <item x="46"/>
        <item x="57"/>
        <item x="39"/>
        <item x="11"/>
        <item x="53"/>
        <item x="92"/>
        <item x="64"/>
        <item x="22"/>
        <item x="74"/>
        <item x="55"/>
        <item x="5"/>
        <item x="30"/>
        <item x="62"/>
        <item x="89"/>
        <item x="60"/>
        <item x="95"/>
        <item x="7"/>
        <item x="99"/>
        <item x="35"/>
        <item x="71"/>
        <item x="26"/>
        <item x="37"/>
        <item x="59"/>
        <item x="2"/>
        <item x="29"/>
        <item x="52"/>
        <item x="8"/>
        <item x="73"/>
        <item x="91"/>
        <item x="41"/>
        <item x="3"/>
        <item x="65"/>
        <item x="16"/>
        <item x="58"/>
        <item x="68"/>
        <item x="61"/>
        <item x="72"/>
        <item x="86"/>
        <item x="78"/>
        <item t="default"/>
      </items>
    </pivotField>
    <pivotField axis="axisRow" showAll="0">
      <items count="3">
        <item x="1"/>
        <item x="0"/>
        <item t="default"/>
      </items>
    </pivotField>
  </pivotFields>
  <rowFields count="1">
    <field x="11"/>
  </rowFields>
  <rowItems count="3">
    <i>
      <x/>
    </i>
    <i>
      <x v="1"/>
    </i>
    <i t="grand">
      <x/>
    </i>
  </rowItems>
  <colFields count="1">
    <field x="-2"/>
  </colFields>
  <colItems count="2">
    <i>
      <x/>
    </i>
    <i i="1">
      <x v="1"/>
    </i>
  </colItems>
  <dataFields count="2">
    <dataField name="Average of Daily_Sugar_Drinks" fld="7" subtotal="average" baseField="11" baseItem="0"/>
    <dataField name="Average of ScreenTime_Hours" fld="8" subtotal="average" baseField="11"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4A10F4-8DAB-45F5-88C5-D3991B003A89}" sourceName="Region">
  <pivotTables>
    <pivotTable tabId="3" name="PivotTable2"/>
  </pivotTables>
  <data>
    <tabular pivotCacheId="1684339261">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5C0575-B3C3-4F89-87F2-E6BE4D953C17}" sourceName="Gender">
  <pivotTables>
    <pivotTable tabId="2" name="PivotTable1"/>
  </pivotTables>
  <data>
    <tabular pivotCacheId="168433926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FF40AC05-756C-4F25-B3D3-79A8D83A355D}" sourceName="Health_Status">
  <pivotTables>
    <pivotTable tabId="2" name="PivotTable1"/>
  </pivotTables>
  <data>
    <tabular pivotCacheId="168433926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Months" xr10:uid="{D17EF98A-7651-4925-B9F4-8F3210C7CDC0}" sourceName="Age_Months">
  <pivotTables>
    <pivotTable tabId="3" name="PivotTable2"/>
  </pivotTables>
  <data>
    <tabular pivotCacheId="1684339261">
      <items count="34">
        <i x="9" s="1"/>
        <i x="4" s="1"/>
        <i x="20" s="1"/>
        <i x="7" s="1"/>
        <i x="32" s="1"/>
        <i x="16" s="1"/>
        <i x="18" s="1"/>
        <i x="10" s="1"/>
        <i x="30" s="1"/>
        <i x="1" s="1"/>
        <i x="2" s="1"/>
        <i x="26" s="1"/>
        <i x="12" s="1"/>
        <i x="3" s="1"/>
        <i x="23" s="1"/>
        <i x="31" s="1"/>
        <i x="25" s="1"/>
        <i x="17" s="1"/>
        <i x="8" s="1"/>
        <i x="21" s="1"/>
        <i x="15" s="1"/>
        <i x="0" s="1"/>
        <i x="19" s="1"/>
        <i x="11" s="1"/>
        <i x="27" s="1"/>
        <i x="5" s="1"/>
        <i x="6" s="1"/>
        <i x="29" s="1"/>
        <i x="22" s="1"/>
        <i x="24" s="1"/>
        <i x="14" s="1"/>
        <i x="13" s="1"/>
        <i x="33" s="1"/>
        <i x="2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 xr10:uid="{C9D929DA-5734-4D3F-B7C5-C3B2CCDF7625}" sourceName="BMI">
  <pivotTables>
    <pivotTable tabId="5" name="PivotTable4"/>
  </pivotTables>
  <data>
    <tabular pivotCacheId="1684339261">
      <items count="100">
        <i x="27" s="1"/>
        <i x="69" s="1"/>
        <i x="36" s="1"/>
        <i x="23" s="1"/>
        <i x="31" s="1"/>
        <i x="48" s="1"/>
        <i x="54" s="1"/>
        <i x="83" s="1"/>
        <i x="67" s="1"/>
        <i x="82" s="1"/>
        <i x="49" s="1"/>
        <i x="80" s="1"/>
        <i x="9" s="1"/>
        <i x="10" s="1"/>
        <i x="87" s="1"/>
        <i x="4" s="1"/>
        <i x="44" s="1"/>
        <i x="98" s="1"/>
        <i x="33" s="1"/>
        <i x="75" s="1"/>
        <i x="28" s="1"/>
        <i x="84" s="1"/>
        <i x="17" s="1"/>
        <i x="38" s="1"/>
        <i x="50" s="1"/>
        <i x="88" s="1"/>
        <i x="76" s="1"/>
        <i x="0" s="1"/>
        <i x="63" s="1"/>
        <i x="19" s="1"/>
        <i x="40" s="1"/>
        <i x="47" s="1"/>
        <i x="43" s="1"/>
        <i x="12" s="1"/>
        <i x="34" s="1"/>
        <i x="20" s="1"/>
        <i x="85" s="1"/>
        <i x="90" s="1"/>
        <i x="96" s="1"/>
        <i x="94" s="1"/>
        <i x="93" s="1"/>
        <i x="1" s="1"/>
        <i x="24" s="1"/>
        <i x="70" s="1"/>
        <i x="56" s="1"/>
        <i x="25" s="1"/>
        <i x="42" s="1"/>
        <i x="77" s="1"/>
        <i x="97" s="1"/>
        <i x="15" s="1"/>
        <i x="51" s="1"/>
        <i x="13" s="1"/>
        <i x="66" s="1"/>
        <i x="18" s="1"/>
        <i x="32" s="1"/>
        <i x="21" s="1"/>
        <i x="14" s="1"/>
        <i x="6" s="1"/>
        <i x="79" s="1"/>
        <i x="45" s="1"/>
        <i x="81" s="1"/>
        <i x="46" s="1"/>
        <i x="57" s="1"/>
        <i x="39" s="1"/>
        <i x="11" s="1"/>
        <i x="53" s="1"/>
        <i x="92" s="1"/>
        <i x="64" s="1"/>
        <i x="22" s="1"/>
        <i x="74" s="1"/>
        <i x="55" s="1"/>
        <i x="5" s="1"/>
        <i x="30" s="1"/>
        <i x="62" s="1"/>
        <i x="89" s="1"/>
        <i x="60" s="1"/>
        <i x="95" s="1"/>
        <i x="7" s="1"/>
        <i x="99" s="1"/>
        <i x="35" s="1"/>
        <i x="71" s="1"/>
        <i x="26" s="1"/>
        <i x="37" s="1"/>
        <i x="59" s="1"/>
        <i x="2" s="1"/>
        <i x="29" s="1"/>
        <i x="52" s="1"/>
        <i x="8" s="1"/>
        <i x="73" s="1"/>
        <i x="91" s="1"/>
        <i x="41" s="1"/>
        <i x="3" s="1"/>
        <i x="65" s="1"/>
        <i x="16" s="1"/>
        <i x="58" s="1"/>
        <i x="68" s="1"/>
        <i x="61" s="1"/>
        <i x="72" s="1"/>
        <i x="86" s="1"/>
        <i x="7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Time_Hours" xr10:uid="{D1A72A89-38C4-4D2E-80CF-E8DFAB0287EC}" sourceName="ScreenTime_Hours">
  <pivotTables>
    <pivotTable tabId="3" name="PivotTable2"/>
  </pivotTables>
  <data>
    <tabular pivotCacheId="1684339261">
      <items count="27">
        <i x="19" s="1"/>
        <i x="2" s="1"/>
        <i x="16" s="1"/>
        <i x="7" s="1"/>
        <i x="4" s="1"/>
        <i x="8" s="1"/>
        <i x="20" s="1"/>
        <i x="0" s="1"/>
        <i x="6" s="1"/>
        <i x="1" s="1"/>
        <i x="3" s="1"/>
        <i x="9" s="1"/>
        <i x="17" s="1"/>
        <i x="22" s="1"/>
        <i x="13" s="1"/>
        <i x="12" s="1"/>
        <i x="10" s="1"/>
        <i x="23" s="1"/>
        <i x="15" s="1"/>
        <i x="26" s="1"/>
        <i x="21" s="1"/>
        <i x="5" s="1"/>
        <i x="14" s="1"/>
        <i x="25" s="1"/>
        <i x="11" s="1"/>
        <i x="18"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E71E61-5AED-4446-AD8B-96A852025967}" cache="Slicer_Region" caption="Region" rowHeight="241300"/>
  <slicer name="ScreenTime_Hours" xr10:uid="{AD7E53A6-88EF-495D-BDCE-DE194B0071E7}" cache="Slicer_ScreenTime_Hours" caption="ScreenTime_Hou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xr10:uid="{DAEB11B8-EBA4-45E5-8B02-C239FDD16026}" cache="Slicer_BMI" caption="BMI"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DA6FE76-6217-4B43-8934-3E800623D2DF}" cache="Slicer_Region" caption="Region" rowHeight="241300"/>
  <slicer name="Gender" xr10:uid="{F3A81F19-6CAA-46DE-9716-3F821EA25C50}" cache="Slicer_Gender" caption="Gender" rowHeight="241300"/>
  <slicer name="Health_Status" xr10:uid="{F7DC493E-2607-4745-9660-BD6C97AB44A6}" cache="Slicer_Health_Status" caption="Health_Status" rowHeight="241300"/>
  <slicer name="Age_Months" xr10:uid="{CEE28535-81A8-4D62-BF3B-915D5D4A4B85}" cache="Slicer_Age_Months" caption="Age_Months" rowHeight="241300"/>
  <slicer name="BMI 1" xr10:uid="{B93D1C8E-5857-492C-B2F6-7B10279377D4}" cache="Slicer_BMI" caption="BMI" startItem="12" rowHeight="241300"/>
  <slicer name="ScreenTime_Hours 1" xr10:uid="{F3C6FBC1-4A4C-4CCE-B7F7-DB17A24C1035}" cache="Slicer_ScreenTime_Hours" caption="ScreenTime_Hours" startItem="1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6DAD7-BDA8-4B13-966B-B98FCF6E158F}" name="Table1" displayName="Table1" ref="A1:L101" totalsRowShown="0">
  <autoFilter ref="A1:L101" xr:uid="{B116DAD7-BDA8-4B13-966B-B98FCF6E158F}"/>
  <tableColumns count="12">
    <tableColumn id="1" xr3:uid="{A8E3B83B-B0D1-4167-B997-75E0387B395C}" name="ChildID"/>
    <tableColumn id="2" xr3:uid="{F6C49736-5715-468B-8EBA-0266EF57656A}" name="Age_Months"/>
    <tableColumn id="3" xr3:uid="{1015CFD8-72F9-4A8A-9BA0-3DB5558FB6E0}" name="Gender"/>
    <tableColumn id="4" xr3:uid="{CE96FCEC-2ED9-4D30-A38E-6BC09006955C}" name="Height_cm"/>
    <tableColumn id="5" xr3:uid="{F461FE30-08F6-40C7-82E9-E39A38207DBA}" name="Weight_kg"/>
    <tableColumn id="6" xr3:uid="{4E243BE2-7BB5-4273-8F10-8AC6CF6BA4E5}" name="Daily_Fruit_Servings"/>
    <tableColumn id="7" xr3:uid="{FE33EFFC-08E5-46F5-B094-064C5C8CFABA}" name="Daily_Veggie_Servings"/>
    <tableColumn id="8" xr3:uid="{03FF6C41-B557-4D24-A4F3-3231C6C606DB}" name="Daily_Sugar_Drinks"/>
    <tableColumn id="9" xr3:uid="{39851327-62DF-4FD7-8DFD-1F1902469D71}" name="ScreenTime_Hours"/>
    <tableColumn id="10" xr3:uid="{1AED3E9E-FCCA-4FBB-B728-55F6D16927EB}" name="Region"/>
    <tableColumn id="11" xr3:uid="{6FF1516B-4639-4541-BF53-C7946D2B0651}" name="BMI" dataDxfId="24" dataCellStyle="20% - Accent2">
      <calculatedColumnFormula>E2 / ((D2 / 100) ^ 2)</calculatedColumnFormula>
    </tableColumn>
    <tableColumn id="12" xr3:uid="{ADA2FEFE-AB61-40BC-9FD0-92B47A19F284}" name="Health_Status" dataDxfId="23" dataCellStyle="20% - Accent2">
      <calculatedColumnFormula>IF(K2&lt;18.5,"Underweight",IF(K2&lt;25,"Healthy Weight",IF(K2&lt;30,"Overweight","Obese")))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FD4F-F9A6-4B63-A5B8-2EF440CA6D84}">
  <dimension ref="A3:D39"/>
  <sheetViews>
    <sheetView workbookViewId="0">
      <selection activeCell="A3" sqref="A3:D39"/>
      <pivotSelection pane="bottomRight" showHeader="1" activeRow="2" previousRow="2" click="1" r:id="rId1">
        <pivotArea type="all" dataOnly="0" outline="0" fieldPosition="0"/>
      </pivotSelection>
    </sheetView>
  </sheetViews>
  <sheetFormatPr defaultRowHeight="14.5" x14ac:dyDescent="0.35"/>
  <cols>
    <col min="1" max="1" width="20.54296875" bestFit="1" customWidth="1"/>
    <col min="2" max="2" width="14.90625" bestFit="1" customWidth="1"/>
    <col min="3" max="3" width="11.6328125" bestFit="1" customWidth="1"/>
    <col min="4" max="4" width="10.7265625" bestFit="1" customWidth="1"/>
  </cols>
  <sheetData>
    <row r="3" spans="1:4" x14ac:dyDescent="0.35">
      <c r="A3" s="12" t="s">
        <v>124</v>
      </c>
      <c r="B3" s="12" t="s">
        <v>118</v>
      </c>
      <c r="C3" s="8"/>
      <c r="D3" s="8"/>
    </row>
    <row r="4" spans="1:4" x14ac:dyDescent="0.35">
      <c r="A4" s="13" t="s">
        <v>121</v>
      </c>
      <c r="B4" s="11" t="s">
        <v>122</v>
      </c>
      <c r="C4" s="11" t="s">
        <v>123</v>
      </c>
      <c r="D4" s="11" t="s">
        <v>120</v>
      </c>
    </row>
    <row r="5" spans="1:4" x14ac:dyDescent="0.35">
      <c r="A5" s="9">
        <v>25</v>
      </c>
      <c r="B5" s="10">
        <v>1</v>
      </c>
      <c r="C5" s="10">
        <v>5</v>
      </c>
      <c r="D5" s="10">
        <v>6</v>
      </c>
    </row>
    <row r="6" spans="1:4" x14ac:dyDescent="0.35">
      <c r="A6" s="9">
        <v>26</v>
      </c>
      <c r="B6" s="10"/>
      <c r="C6" s="10">
        <v>2</v>
      </c>
      <c r="D6" s="10">
        <v>2</v>
      </c>
    </row>
    <row r="7" spans="1:4" x14ac:dyDescent="0.35">
      <c r="A7" s="9">
        <v>27</v>
      </c>
      <c r="B7" s="10"/>
      <c r="C7" s="10">
        <v>3</v>
      </c>
      <c r="D7" s="10">
        <v>3</v>
      </c>
    </row>
    <row r="8" spans="1:4" x14ac:dyDescent="0.35">
      <c r="A8" s="9">
        <v>28</v>
      </c>
      <c r="B8" s="10">
        <v>1</v>
      </c>
      <c r="C8" s="10">
        <v>2</v>
      </c>
      <c r="D8" s="10">
        <v>3</v>
      </c>
    </row>
    <row r="9" spans="1:4" x14ac:dyDescent="0.35">
      <c r="A9" s="9">
        <v>29</v>
      </c>
      <c r="B9" s="10"/>
      <c r="C9" s="10">
        <v>2</v>
      </c>
      <c r="D9" s="10">
        <v>2</v>
      </c>
    </row>
    <row r="10" spans="1:4" x14ac:dyDescent="0.35">
      <c r="A10" s="9">
        <v>30</v>
      </c>
      <c r="B10" s="10"/>
      <c r="C10" s="10">
        <v>4</v>
      </c>
      <c r="D10" s="10">
        <v>4</v>
      </c>
    </row>
    <row r="11" spans="1:4" x14ac:dyDescent="0.35">
      <c r="A11" s="9">
        <v>31</v>
      </c>
      <c r="B11" s="10">
        <v>1</v>
      </c>
      <c r="C11" s="10">
        <v>1</v>
      </c>
      <c r="D11" s="10">
        <v>2</v>
      </c>
    </row>
    <row r="12" spans="1:4" x14ac:dyDescent="0.35">
      <c r="A12" s="9">
        <v>32</v>
      </c>
      <c r="B12" s="10">
        <v>1</v>
      </c>
      <c r="C12" s="10">
        <v>5</v>
      </c>
      <c r="D12" s="10">
        <v>6</v>
      </c>
    </row>
    <row r="13" spans="1:4" x14ac:dyDescent="0.35">
      <c r="A13" s="9">
        <v>33</v>
      </c>
      <c r="B13" s="10"/>
      <c r="C13" s="10">
        <v>1</v>
      </c>
      <c r="D13" s="10">
        <v>1</v>
      </c>
    </row>
    <row r="14" spans="1:4" x14ac:dyDescent="0.35">
      <c r="A14" s="9">
        <v>34</v>
      </c>
      <c r="B14" s="10"/>
      <c r="C14" s="10">
        <v>5</v>
      </c>
      <c r="D14" s="10">
        <v>5</v>
      </c>
    </row>
    <row r="15" spans="1:4" x14ac:dyDescent="0.35">
      <c r="A15" s="9">
        <v>35</v>
      </c>
      <c r="B15" s="10">
        <v>2</v>
      </c>
      <c r="C15" s="10">
        <v>2</v>
      </c>
      <c r="D15" s="10">
        <v>4</v>
      </c>
    </row>
    <row r="16" spans="1:4" x14ac:dyDescent="0.35">
      <c r="A16" s="9">
        <v>36</v>
      </c>
      <c r="B16" s="10"/>
      <c r="C16" s="10">
        <v>1</v>
      </c>
      <c r="D16" s="10">
        <v>1</v>
      </c>
    </row>
    <row r="17" spans="1:4" x14ac:dyDescent="0.35">
      <c r="A17" s="9">
        <v>38</v>
      </c>
      <c r="B17" s="10">
        <v>1</v>
      </c>
      <c r="C17" s="10">
        <v>3</v>
      </c>
      <c r="D17" s="10">
        <v>4</v>
      </c>
    </row>
    <row r="18" spans="1:4" x14ac:dyDescent="0.35">
      <c r="A18" s="9">
        <v>39</v>
      </c>
      <c r="B18" s="10">
        <v>2</v>
      </c>
      <c r="C18" s="10"/>
      <c r="D18" s="10">
        <v>2</v>
      </c>
    </row>
    <row r="19" spans="1:4" x14ac:dyDescent="0.35">
      <c r="A19" s="9">
        <v>40</v>
      </c>
      <c r="B19" s="10"/>
      <c r="C19" s="10">
        <v>2</v>
      </c>
      <c r="D19" s="10">
        <v>2</v>
      </c>
    </row>
    <row r="20" spans="1:4" x14ac:dyDescent="0.35">
      <c r="A20" s="9">
        <v>41</v>
      </c>
      <c r="B20" s="10"/>
      <c r="C20" s="10">
        <v>1</v>
      </c>
      <c r="D20" s="10">
        <v>1</v>
      </c>
    </row>
    <row r="21" spans="1:4" x14ac:dyDescent="0.35">
      <c r="A21" s="9">
        <v>42</v>
      </c>
      <c r="B21" s="10"/>
      <c r="C21" s="10">
        <v>2</v>
      </c>
      <c r="D21" s="10">
        <v>2</v>
      </c>
    </row>
    <row r="22" spans="1:4" x14ac:dyDescent="0.35">
      <c r="A22" s="9">
        <v>43</v>
      </c>
      <c r="B22" s="10">
        <v>1</v>
      </c>
      <c r="C22" s="10">
        <v>1</v>
      </c>
      <c r="D22" s="10">
        <v>2</v>
      </c>
    </row>
    <row r="23" spans="1:4" x14ac:dyDescent="0.35">
      <c r="A23" s="9">
        <v>44</v>
      </c>
      <c r="B23" s="10">
        <v>1</v>
      </c>
      <c r="C23" s="10">
        <v>2</v>
      </c>
      <c r="D23" s="10">
        <v>3</v>
      </c>
    </row>
    <row r="24" spans="1:4" x14ac:dyDescent="0.35">
      <c r="A24" s="9">
        <v>45</v>
      </c>
      <c r="B24" s="10">
        <v>1</v>
      </c>
      <c r="C24" s="10">
        <v>3</v>
      </c>
      <c r="D24" s="10">
        <v>4</v>
      </c>
    </row>
    <row r="25" spans="1:4" x14ac:dyDescent="0.35">
      <c r="A25" s="9">
        <v>46</v>
      </c>
      <c r="B25" s="10"/>
      <c r="C25" s="10">
        <v>5</v>
      </c>
      <c r="D25" s="10">
        <v>5</v>
      </c>
    </row>
    <row r="26" spans="1:4" x14ac:dyDescent="0.35">
      <c r="A26" s="9">
        <v>47</v>
      </c>
      <c r="B26" s="10">
        <v>1</v>
      </c>
      <c r="C26" s="10">
        <v>1</v>
      </c>
      <c r="D26" s="10">
        <v>2</v>
      </c>
    </row>
    <row r="27" spans="1:4" x14ac:dyDescent="0.35">
      <c r="A27" s="9">
        <v>48</v>
      </c>
      <c r="B27" s="10">
        <v>1</v>
      </c>
      <c r="C27" s="10">
        <v>2</v>
      </c>
      <c r="D27" s="10">
        <v>3</v>
      </c>
    </row>
    <row r="28" spans="1:4" x14ac:dyDescent="0.35">
      <c r="A28" s="9">
        <v>49</v>
      </c>
      <c r="B28" s="10">
        <v>1</v>
      </c>
      <c r="C28" s="10">
        <v>3</v>
      </c>
      <c r="D28" s="10">
        <v>4</v>
      </c>
    </row>
    <row r="29" spans="1:4" x14ac:dyDescent="0.35">
      <c r="A29" s="9">
        <v>50</v>
      </c>
      <c r="B29" s="10">
        <v>2</v>
      </c>
      <c r="C29" s="10">
        <v>1</v>
      </c>
      <c r="D29" s="10">
        <v>3</v>
      </c>
    </row>
    <row r="30" spans="1:4" x14ac:dyDescent="0.35">
      <c r="A30" s="9">
        <v>51</v>
      </c>
      <c r="B30" s="10"/>
      <c r="C30" s="10">
        <v>1</v>
      </c>
      <c r="D30" s="10">
        <v>1</v>
      </c>
    </row>
    <row r="31" spans="1:4" x14ac:dyDescent="0.35">
      <c r="A31" s="9">
        <v>52</v>
      </c>
      <c r="B31" s="10">
        <v>2</v>
      </c>
      <c r="C31" s="10">
        <v>3</v>
      </c>
      <c r="D31" s="10">
        <v>5</v>
      </c>
    </row>
    <row r="32" spans="1:4" x14ac:dyDescent="0.35">
      <c r="A32" s="9">
        <v>53</v>
      </c>
      <c r="B32" s="10">
        <v>1</v>
      </c>
      <c r="C32" s="10">
        <v>1</v>
      </c>
      <c r="D32" s="10">
        <v>2</v>
      </c>
    </row>
    <row r="33" spans="1:4" x14ac:dyDescent="0.35">
      <c r="A33" s="9">
        <v>54</v>
      </c>
      <c r="B33" s="10"/>
      <c r="C33" s="10">
        <v>2</v>
      </c>
      <c r="D33" s="10">
        <v>2</v>
      </c>
    </row>
    <row r="34" spans="1:4" x14ac:dyDescent="0.35">
      <c r="A34" s="9">
        <v>55</v>
      </c>
      <c r="B34" s="10"/>
      <c r="C34" s="10">
        <v>1</v>
      </c>
      <c r="D34" s="10">
        <v>1</v>
      </c>
    </row>
    <row r="35" spans="1:4" x14ac:dyDescent="0.35">
      <c r="A35" s="9">
        <v>56</v>
      </c>
      <c r="B35" s="10">
        <v>2</v>
      </c>
      <c r="C35" s="10">
        <v>4</v>
      </c>
      <c r="D35" s="10">
        <v>6</v>
      </c>
    </row>
    <row r="36" spans="1:4" x14ac:dyDescent="0.35">
      <c r="A36" s="9">
        <v>57</v>
      </c>
      <c r="B36" s="10"/>
      <c r="C36" s="10">
        <v>4</v>
      </c>
      <c r="D36" s="10">
        <v>4</v>
      </c>
    </row>
    <row r="37" spans="1:4" x14ac:dyDescent="0.35">
      <c r="A37" s="9">
        <v>58</v>
      </c>
      <c r="B37" s="10">
        <v>1</v>
      </c>
      <c r="C37" s="10"/>
      <c r="D37" s="10">
        <v>1</v>
      </c>
    </row>
    <row r="38" spans="1:4" x14ac:dyDescent="0.35">
      <c r="A38" s="9">
        <v>59</v>
      </c>
      <c r="B38" s="10">
        <v>1</v>
      </c>
      <c r="C38" s="10">
        <v>1</v>
      </c>
      <c r="D38" s="10">
        <v>2</v>
      </c>
    </row>
    <row r="39" spans="1:4" x14ac:dyDescent="0.35">
      <c r="A39" s="9" t="s">
        <v>120</v>
      </c>
      <c r="B39" s="10">
        <v>24</v>
      </c>
      <c r="C39" s="10">
        <v>76</v>
      </c>
      <c r="D39" s="10">
        <v>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04CB-1868-4BC8-8CD4-AB8608D237A7}">
  <dimension ref="A3:G15"/>
  <sheetViews>
    <sheetView workbookViewId="0">
      <selection activeCell="G16" sqref="G16"/>
    </sheetView>
  </sheetViews>
  <sheetFormatPr defaultRowHeight="14.5" x14ac:dyDescent="0.35"/>
  <cols>
    <col min="1" max="1" width="19.26953125" bestFit="1" customWidth="1"/>
    <col min="2" max="2" width="20.81640625" bestFit="1" customWidth="1"/>
    <col min="3" max="7" width="11.81640625" bestFit="1" customWidth="1"/>
  </cols>
  <sheetData>
    <row r="3" spans="1:7" x14ac:dyDescent="0.35">
      <c r="A3" s="7" t="s">
        <v>125</v>
      </c>
      <c r="B3" s="7" t="s">
        <v>127</v>
      </c>
      <c r="C3" s="8"/>
      <c r="D3" s="8"/>
      <c r="E3" s="8"/>
      <c r="F3" s="8"/>
      <c r="G3" s="8"/>
    </row>
    <row r="4" spans="1:7" x14ac:dyDescent="0.35">
      <c r="A4" s="7" t="s">
        <v>126</v>
      </c>
      <c r="B4" s="8">
        <v>0</v>
      </c>
      <c r="C4" s="8">
        <v>1</v>
      </c>
      <c r="D4" s="8">
        <v>2</v>
      </c>
      <c r="E4" s="8">
        <v>3</v>
      </c>
      <c r="F4" s="8">
        <v>4</v>
      </c>
      <c r="G4" s="8" t="s">
        <v>120</v>
      </c>
    </row>
    <row r="5" spans="1:7" x14ac:dyDescent="0.35">
      <c r="A5" s="9">
        <v>0</v>
      </c>
      <c r="B5" s="10">
        <v>19.016420427584645</v>
      </c>
      <c r="C5" s="10">
        <v>17.280117596560103</v>
      </c>
      <c r="D5" s="10">
        <v>16.27305047255906</v>
      </c>
      <c r="E5" s="10">
        <v>17.104134635526798</v>
      </c>
      <c r="F5" s="10">
        <v>18.137073212360072</v>
      </c>
      <c r="G5" s="10">
        <v>17.566529534524921</v>
      </c>
    </row>
    <row r="6" spans="1:7" x14ac:dyDescent="0.35">
      <c r="A6" s="9">
        <v>1</v>
      </c>
      <c r="B6" s="10">
        <v>16.35248862763348</v>
      </c>
      <c r="C6" s="10">
        <v>16.201722814253078</v>
      </c>
      <c r="D6" s="10">
        <v>17.145357431721354</v>
      </c>
      <c r="E6" s="10">
        <v>15.486892118792989</v>
      </c>
      <c r="F6" s="10">
        <v>17.548662976364966</v>
      </c>
      <c r="G6" s="10">
        <v>16.468003433538151</v>
      </c>
    </row>
    <row r="7" spans="1:7" x14ac:dyDescent="0.35">
      <c r="A7" s="9">
        <v>2</v>
      </c>
      <c r="B7" s="10">
        <v>18.304030863042058</v>
      </c>
      <c r="C7" s="10">
        <v>13.414804870225169</v>
      </c>
      <c r="D7" s="10">
        <v>17.219114471226323</v>
      </c>
      <c r="E7" s="10"/>
      <c r="F7" s="10">
        <v>17.104693630968079</v>
      </c>
      <c r="G7" s="10">
        <v>16.87382757410969</v>
      </c>
    </row>
    <row r="8" spans="1:7" x14ac:dyDescent="0.35">
      <c r="A8" s="9">
        <v>3</v>
      </c>
      <c r="B8" s="10">
        <v>18.791232347431109</v>
      </c>
      <c r="C8" s="10">
        <v>15.547827345547695</v>
      </c>
      <c r="D8" s="10">
        <v>18.37904051788599</v>
      </c>
      <c r="E8" s="10">
        <v>19.105850849662808</v>
      </c>
      <c r="F8" s="10">
        <v>15.747317770125974</v>
      </c>
      <c r="G8" s="10">
        <v>17.50835442521058</v>
      </c>
    </row>
    <row r="9" spans="1:7" x14ac:dyDescent="0.35">
      <c r="A9" s="9">
        <v>4</v>
      </c>
      <c r="B9" s="10">
        <v>17.326942725016981</v>
      </c>
      <c r="C9" s="10">
        <v>16.827714126941665</v>
      </c>
      <c r="D9" s="10">
        <v>16.79563742079436</v>
      </c>
      <c r="E9" s="10">
        <v>16.427913820241738</v>
      </c>
      <c r="F9" s="10">
        <v>20.023541521230683</v>
      </c>
      <c r="G9" s="10">
        <v>17.004575438549672</v>
      </c>
    </row>
    <row r="10" spans="1:7" x14ac:dyDescent="0.35">
      <c r="A10" s="9" t="s">
        <v>120</v>
      </c>
      <c r="B10" s="10">
        <v>17.801185141707748</v>
      </c>
      <c r="C10" s="10">
        <v>16.198132313610472</v>
      </c>
      <c r="D10" s="10">
        <v>17.352645060732396</v>
      </c>
      <c r="E10" s="10">
        <v>16.453644797937383</v>
      </c>
      <c r="F10" s="10">
        <v>17.160526114957836</v>
      </c>
      <c r="G10" s="10">
        <v>17.058049606125383</v>
      </c>
    </row>
    <row r="14" spans="1:7" x14ac:dyDescent="0.35">
      <c r="G14" t="s">
        <v>14</v>
      </c>
    </row>
    <row r="15" spans="1:7" x14ac:dyDescent="0.35">
      <c r="G15" t="s">
        <v>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CA087-3B68-49A5-A323-D3BCA1D0AFB0}">
  <dimension ref="A2:G9"/>
  <sheetViews>
    <sheetView workbookViewId="0">
      <selection activeCell="E4" sqref="E4:G4"/>
      <pivotSelection pane="bottomRight" showHeader="1" extendable="1" axis="axisRow" max="6" activeRow="3" activeCol="4" previousRow="3" previousCol="4" click="1" r:id="rId1">
        <pivotArea dataOnly="0" fieldPosition="0">
          <references count="1">
            <reference field="9" count="1">
              <x v="0"/>
            </reference>
          </references>
        </pivotArea>
      </pivotSelection>
    </sheetView>
  </sheetViews>
  <sheetFormatPr defaultRowHeight="14.5" x14ac:dyDescent="0.35"/>
  <cols>
    <col min="1" max="1" width="13.6328125" bestFit="1" customWidth="1"/>
    <col min="2" max="2" width="26.6328125" bestFit="1" customWidth="1"/>
    <col min="3" max="3" width="26.1796875" bestFit="1" customWidth="1"/>
    <col min="4" max="4" width="5.1796875" customWidth="1"/>
    <col min="5" max="5" width="12.26953125" customWidth="1"/>
    <col min="6" max="6" width="16.6328125" customWidth="1"/>
    <col min="7" max="7" width="26.81640625" customWidth="1"/>
  </cols>
  <sheetData>
    <row r="2" spans="1:7" ht="15" thickBot="1" x14ac:dyDescent="0.4"/>
    <row r="3" spans="1:7" x14ac:dyDescent="0.35">
      <c r="A3" s="4" t="s">
        <v>119</v>
      </c>
      <c r="B3" t="s">
        <v>128</v>
      </c>
      <c r="C3" t="s">
        <v>129</v>
      </c>
      <c r="E3" s="14" t="s">
        <v>9</v>
      </c>
      <c r="F3" s="21" t="s">
        <v>125</v>
      </c>
      <c r="G3" s="15" t="s">
        <v>130</v>
      </c>
    </row>
    <row r="4" spans="1:7" x14ac:dyDescent="0.35">
      <c r="A4" s="5" t="s">
        <v>122</v>
      </c>
      <c r="B4" s="6">
        <v>1.5833333333333333</v>
      </c>
      <c r="C4" s="6">
        <v>1.6875000000000002</v>
      </c>
      <c r="E4" s="16" t="s">
        <v>14</v>
      </c>
      <c r="F4" s="10">
        <v>17.280514841003029</v>
      </c>
      <c r="G4" s="17">
        <v>2.3333333333333335</v>
      </c>
    </row>
    <row r="5" spans="1:7" x14ac:dyDescent="0.35">
      <c r="A5" s="5" t="s">
        <v>123</v>
      </c>
      <c r="B5" s="6">
        <v>1.3026315789473684</v>
      </c>
      <c r="C5" s="6">
        <v>1.2986842105263157</v>
      </c>
      <c r="E5" s="16" t="s">
        <v>20</v>
      </c>
      <c r="F5" s="10">
        <v>16.371172019628016</v>
      </c>
      <c r="G5" s="17">
        <v>2.1428571428571428</v>
      </c>
    </row>
    <row r="6" spans="1:7" x14ac:dyDescent="0.35">
      <c r="A6" s="5" t="s">
        <v>120</v>
      </c>
      <c r="B6" s="6">
        <v>1.37</v>
      </c>
      <c r="C6" s="6">
        <v>1.3919999999999999</v>
      </c>
      <c r="E6" s="16" t="s">
        <v>24</v>
      </c>
      <c r="F6" s="10">
        <v>16.789441132947946</v>
      </c>
      <c r="G6" s="17">
        <v>2</v>
      </c>
    </row>
    <row r="7" spans="1:7" x14ac:dyDescent="0.35">
      <c r="E7" s="16" t="s">
        <v>12</v>
      </c>
      <c r="F7" s="10">
        <v>17.188810268120474</v>
      </c>
      <c r="G7" s="17">
        <v>2.5</v>
      </c>
    </row>
    <row r="8" spans="1:7" x14ac:dyDescent="0.35">
      <c r="E8" s="16" t="s">
        <v>27</v>
      </c>
      <c r="F8" s="10">
        <v>17.912368815419139</v>
      </c>
      <c r="G8" s="17">
        <v>1.5833333333333333</v>
      </c>
    </row>
    <row r="9" spans="1:7" ht="15" thickBot="1" x14ac:dyDescent="0.4">
      <c r="E9" s="18" t="s">
        <v>120</v>
      </c>
      <c r="F9" s="19">
        <v>17.058049606125373</v>
      </c>
      <c r="G9" s="20">
        <v>2.19</v>
      </c>
    </row>
  </sheetData>
  <conditionalFormatting sqref="F3:F9">
    <cfRule type="colorScale" priority="2">
      <colorScale>
        <cfvo type="min"/>
        <cfvo type="percentile" val="50"/>
        <cfvo type="max"/>
        <color rgb="FFF8696B"/>
        <color rgb="FFFFEB84"/>
        <color rgb="FF63BE7B"/>
      </colorScale>
    </cfRule>
  </conditionalFormatting>
  <conditionalFormatting sqref="G3:G9">
    <cfRule type="colorScale" priority="1">
      <colorScale>
        <cfvo type="min"/>
        <cfvo type="percentile" val="50"/>
        <cfvo type="max"/>
        <color rgb="FF63BE7B"/>
        <color rgb="FFFFEB84"/>
        <color rgb="FFF8696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40A8-48C0-4AE2-9CE6-5F084837B9B8}">
  <dimension ref="A1:L101"/>
  <sheetViews>
    <sheetView topLeftCell="B83" workbookViewId="0">
      <selection activeCell="A2" sqref="A2:A101"/>
    </sheetView>
  </sheetViews>
  <sheetFormatPr defaultRowHeight="14.5" x14ac:dyDescent="0.35"/>
  <cols>
    <col min="1" max="1" width="8.81640625" customWidth="1"/>
    <col min="2" max="2" width="13.453125" customWidth="1"/>
    <col min="3" max="3" width="9" customWidth="1"/>
    <col min="4" max="5" width="11.7265625" customWidth="1"/>
    <col min="6" max="6" width="19.6328125" customWidth="1"/>
    <col min="7" max="7" width="21.1796875" customWidth="1"/>
    <col min="8" max="8" width="18.90625" customWidth="1"/>
    <col min="9" max="9" width="18.453125" customWidth="1"/>
    <col min="11" max="11" width="11.1796875" customWidth="1"/>
    <col min="12" max="12" width="15.1796875" customWidth="1"/>
    <col min="13" max="13" width="14.453125" customWidth="1"/>
  </cols>
  <sheetData>
    <row r="1" spans="1:12" x14ac:dyDescent="0.35">
      <c r="A1" t="s">
        <v>0</v>
      </c>
      <c r="B1" t="s">
        <v>1</v>
      </c>
      <c r="C1" t="s">
        <v>2</v>
      </c>
      <c r="D1" t="s">
        <v>3</v>
      </c>
      <c r="E1" t="s">
        <v>4</v>
      </c>
      <c r="F1" t="s">
        <v>5</v>
      </c>
      <c r="G1" t="s">
        <v>6</v>
      </c>
      <c r="H1" t="s">
        <v>7</v>
      </c>
      <c r="I1" t="s">
        <v>8</v>
      </c>
      <c r="J1" t="s">
        <v>9</v>
      </c>
      <c r="K1" s="1" t="s">
        <v>117</v>
      </c>
      <c r="L1" s="1" t="s">
        <v>118</v>
      </c>
    </row>
    <row r="2" spans="1:12" x14ac:dyDescent="0.35">
      <c r="A2" t="s">
        <v>10</v>
      </c>
      <c r="B2">
        <v>47</v>
      </c>
      <c r="C2" t="s">
        <v>11</v>
      </c>
      <c r="D2">
        <v>104.41</v>
      </c>
      <c r="E2">
        <v>17.34</v>
      </c>
      <c r="F2">
        <v>1</v>
      </c>
      <c r="G2">
        <v>2</v>
      </c>
      <c r="H2">
        <v>3</v>
      </c>
      <c r="I2">
        <v>1.2</v>
      </c>
      <c r="J2" t="s">
        <v>12</v>
      </c>
      <c r="K2" s="2">
        <f>E2 / ((D2 / 100) ^ 2)</f>
        <v>15.90614369846883</v>
      </c>
      <c r="L2" s="2" t="str">
        <f t="shared" ref="L2:L33" si="0">IF(K2&lt;18.5,"Underweight",IF(K2&lt;25,"Healthy Weight",IF(K2&lt;30,"Overweight","Obese")))</f>
        <v>Underweight</v>
      </c>
    </row>
    <row r="3" spans="1:12" x14ac:dyDescent="0.35">
      <c r="A3" t="s">
        <v>13</v>
      </c>
      <c r="B3">
        <v>34</v>
      </c>
      <c r="C3" t="s">
        <v>11</v>
      </c>
      <c r="D3">
        <v>99.08</v>
      </c>
      <c r="E3">
        <v>16.21</v>
      </c>
      <c r="F3">
        <v>0</v>
      </c>
      <c r="G3">
        <v>1</v>
      </c>
      <c r="H3">
        <v>1</v>
      </c>
      <c r="I3">
        <v>1.4</v>
      </c>
      <c r="J3" t="s">
        <v>14</v>
      </c>
      <c r="K3" s="2">
        <f t="shared" ref="K2:K33" si="1">E3 / ((D3 / 100) ^ 2)</f>
        <v>16.512431120446177</v>
      </c>
      <c r="L3" s="2" t="str">
        <f t="shared" si="0"/>
        <v>Underweight</v>
      </c>
    </row>
    <row r="4" spans="1:12" x14ac:dyDescent="0.35">
      <c r="A4" t="s">
        <v>15</v>
      </c>
      <c r="B4">
        <v>35</v>
      </c>
      <c r="C4" t="s">
        <v>11</v>
      </c>
      <c r="D4">
        <v>94.96</v>
      </c>
      <c r="E4">
        <v>17.3</v>
      </c>
      <c r="F4">
        <v>3</v>
      </c>
      <c r="G4">
        <v>3</v>
      </c>
      <c r="H4">
        <v>2</v>
      </c>
      <c r="I4">
        <v>0.6</v>
      </c>
      <c r="J4" t="s">
        <v>14</v>
      </c>
      <c r="K4" s="2">
        <f t="shared" si="1"/>
        <v>19.185127564907393</v>
      </c>
      <c r="L4" s="3" t="str">
        <f t="shared" si="0"/>
        <v>Healthy Weight</v>
      </c>
    </row>
    <row r="5" spans="1:12" x14ac:dyDescent="0.35">
      <c r="A5" t="s">
        <v>16</v>
      </c>
      <c r="B5">
        <v>39</v>
      </c>
      <c r="C5" t="s">
        <v>11</v>
      </c>
      <c r="D5">
        <v>100.65</v>
      </c>
      <c r="E5">
        <v>20.010000000000002</v>
      </c>
      <c r="F5">
        <v>2</v>
      </c>
      <c r="G5">
        <v>0</v>
      </c>
      <c r="H5">
        <v>1</v>
      </c>
      <c r="I5">
        <v>1.5</v>
      </c>
      <c r="J5" t="s">
        <v>14</v>
      </c>
      <c r="K5" s="2">
        <f t="shared" si="1"/>
        <v>19.75238446372795</v>
      </c>
      <c r="L5" s="3" t="str">
        <f t="shared" si="0"/>
        <v>Healthy Weight</v>
      </c>
    </row>
    <row r="6" spans="1:12" x14ac:dyDescent="0.35">
      <c r="A6" t="s">
        <v>17</v>
      </c>
      <c r="B6">
        <v>26</v>
      </c>
      <c r="C6" t="s">
        <v>11</v>
      </c>
      <c r="D6">
        <v>90.06</v>
      </c>
      <c r="E6">
        <v>12.16</v>
      </c>
      <c r="F6">
        <v>0</v>
      </c>
      <c r="G6">
        <v>1</v>
      </c>
      <c r="H6">
        <v>0</v>
      </c>
      <c r="I6">
        <v>0.9</v>
      </c>
      <c r="J6" t="s">
        <v>12</v>
      </c>
      <c r="K6" s="2">
        <f t="shared" si="1"/>
        <v>14.992349216790304</v>
      </c>
      <c r="L6" s="2" t="str">
        <f t="shared" si="0"/>
        <v>Underweight</v>
      </c>
    </row>
    <row r="7" spans="1:12" x14ac:dyDescent="0.35">
      <c r="A7" t="s">
        <v>18</v>
      </c>
      <c r="B7">
        <v>51</v>
      </c>
      <c r="C7" t="s">
        <v>19</v>
      </c>
      <c r="D7">
        <v>108.82</v>
      </c>
      <c r="E7">
        <v>21.54</v>
      </c>
      <c r="F7">
        <v>0</v>
      </c>
      <c r="G7">
        <v>1</v>
      </c>
      <c r="H7">
        <v>1</v>
      </c>
      <c r="I7">
        <v>0.9</v>
      </c>
      <c r="J7" t="s">
        <v>20</v>
      </c>
      <c r="K7" s="2">
        <f t="shared" si="1"/>
        <v>18.189813900132215</v>
      </c>
      <c r="L7" s="2" t="str">
        <f t="shared" si="0"/>
        <v>Underweight</v>
      </c>
    </row>
    <row r="8" spans="1:12" x14ac:dyDescent="0.35">
      <c r="A8" t="s">
        <v>21</v>
      </c>
      <c r="B8">
        <v>52</v>
      </c>
      <c r="C8" t="s">
        <v>19</v>
      </c>
      <c r="D8">
        <v>110.28</v>
      </c>
      <c r="E8">
        <v>21.49</v>
      </c>
      <c r="F8">
        <v>4</v>
      </c>
      <c r="G8">
        <v>0</v>
      </c>
      <c r="H8">
        <v>2</v>
      </c>
      <c r="I8">
        <v>2.8</v>
      </c>
      <c r="J8" t="s">
        <v>12</v>
      </c>
      <c r="K8" s="2">
        <f t="shared" si="1"/>
        <v>17.67025840775398</v>
      </c>
      <c r="L8" s="2" t="str">
        <f t="shared" si="0"/>
        <v>Underweight</v>
      </c>
    </row>
    <row r="9" spans="1:12" x14ac:dyDescent="0.35">
      <c r="A9" t="s">
        <v>22</v>
      </c>
      <c r="B9">
        <v>52</v>
      </c>
      <c r="C9" t="s">
        <v>11</v>
      </c>
      <c r="D9">
        <v>102.65</v>
      </c>
      <c r="E9">
        <v>19.55</v>
      </c>
      <c r="F9">
        <v>2</v>
      </c>
      <c r="G9">
        <v>2</v>
      </c>
      <c r="H9">
        <v>1</v>
      </c>
      <c r="I9">
        <v>1.3</v>
      </c>
      <c r="J9" t="s">
        <v>14</v>
      </c>
      <c r="K9" s="2">
        <f t="shared" si="1"/>
        <v>18.553628408784363</v>
      </c>
      <c r="L9" s="3" t="str">
        <f t="shared" si="0"/>
        <v>Healthy Weight</v>
      </c>
    </row>
    <row r="10" spans="1:12" x14ac:dyDescent="0.35">
      <c r="A10" t="s">
        <v>23</v>
      </c>
      <c r="B10">
        <v>28</v>
      </c>
      <c r="C10" t="s">
        <v>19</v>
      </c>
      <c r="D10">
        <v>91.47</v>
      </c>
      <c r="E10">
        <v>16.39</v>
      </c>
      <c r="F10">
        <v>3</v>
      </c>
      <c r="G10">
        <v>2</v>
      </c>
      <c r="H10">
        <v>3</v>
      </c>
      <c r="I10">
        <v>0.8</v>
      </c>
      <c r="J10" t="s">
        <v>24</v>
      </c>
      <c r="K10" s="2">
        <f t="shared" si="1"/>
        <v>19.589420799631078</v>
      </c>
      <c r="L10" s="3" t="str">
        <f t="shared" si="0"/>
        <v>Healthy Weight</v>
      </c>
    </row>
    <row r="11" spans="1:12" x14ac:dyDescent="0.35">
      <c r="A11" t="s">
        <v>25</v>
      </c>
      <c r="B11">
        <v>44</v>
      </c>
      <c r="C11" t="s">
        <v>11</v>
      </c>
      <c r="D11">
        <v>111.89</v>
      </c>
      <c r="E11">
        <v>17.95</v>
      </c>
      <c r="F11">
        <v>1</v>
      </c>
      <c r="G11">
        <v>3</v>
      </c>
      <c r="H11">
        <v>0</v>
      </c>
      <c r="I11">
        <v>0.8</v>
      </c>
      <c r="J11" t="s">
        <v>14</v>
      </c>
      <c r="K11" s="2">
        <f t="shared" si="1"/>
        <v>14.337779767724934</v>
      </c>
      <c r="L11" s="2" t="str">
        <f t="shared" si="0"/>
        <v>Underweight</v>
      </c>
    </row>
    <row r="12" spans="1:12" x14ac:dyDescent="0.35">
      <c r="A12" t="s">
        <v>26</v>
      </c>
      <c r="B12">
        <v>25</v>
      </c>
      <c r="C12" t="s">
        <v>19</v>
      </c>
      <c r="D12">
        <v>96.25</v>
      </c>
      <c r="E12">
        <v>13.5</v>
      </c>
      <c r="F12">
        <v>3</v>
      </c>
      <c r="G12">
        <v>4</v>
      </c>
      <c r="H12">
        <v>0</v>
      </c>
      <c r="I12">
        <v>0.6</v>
      </c>
      <c r="J12" t="s">
        <v>27</v>
      </c>
      <c r="K12" s="2">
        <f t="shared" si="1"/>
        <v>14.572440546466519</v>
      </c>
      <c r="L12" s="2" t="str">
        <f t="shared" si="0"/>
        <v>Underweight</v>
      </c>
    </row>
    <row r="13" spans="1:12" x14ac:dyDescent="0.35">
      <c r="A13" t="s">
        <v>28</v>
      </c>
      <c r="B13">
        <v>32</v>
      </c>
      <c r="C13" t="s">
        <v>11</v>
      </c>
      <c r="D13">
        <v>96.02</v>
      </c>
      <c r="E13">
        <v>16.55</v>
      </c>
      <c r="F13">
        <v>2</v>
      </c>
      <c r="G13">
        <v>0</v>
      </c>
      <c r="H13">
        <v>2</v>
      </c>
      <c r="I13">
        <v>1</v>
      </c>
      <c r="J13" t="s">
        <v>24</v>
      </c>
      <c r="K13" s="2">
        <f t="shared" si="1"/>
        <v>17.950419185130364</v>
      </c>
      <c r="L13" s="2" t="str">
        <f t="shared" si="0"/>
        <v>Underweight</v>
      </c>
    </row>
    <row r="14" spans="1:12" x14ac:dyDescent="0.35">
      <c r="A14" t="s">
        <v>29</v>
      </c>
      <c r="B14">
        <v>34</v>
      </c>
      <c r="C14" t="s">
        <v>19</v>
      </c>
      <c r="D14">
        <v>97.37</v>
      </c>
      <c r="E14">
        <v>15.55</v>
      </c>
      <c r="F14">
        <v>0</v>
      </c>
      <c r="G14">
        <v>1</v>
      </c>
      <c r="H14">
        <v>2</v>
      </c>
      <c r="I14">
        <v>1.3</v>
      </c>
      <c r="J14" t="s">
        <v>20</v>
      </c>
      <c r="K14" s="2">
        <f t="shared" si="1"/>
        <v>16.401367255945466</v>
      </c>
      <c r="L14" s="2" t="str">
        <f t="shared" si="0"/>
        <v>Underweight</v>
      </c>
    </row>
    <row r="15" spans="1:12" x14ac:dyDescent="0.35">
      <c r="A15" t="s">
        <v>30</v>
      </c>
      <c r="B15">
        <v>49</v>
      </c>
      <c r="C15" t="s">
        <v>19</v>
      </c>
      <c r="D15">
        <v>108.39</v>
      </c>
      <c r="E15">
        <v>20.100000000000001</v>
      </c>
      <c r="F15">
        <v>0</v>
      </c>
      <c r="G15">
        <v>2</v>
      </c>
      <c r="H15">
        <v>3</v>
      </c>
      <c r="I15">
        <v>0.6</v>
      </c>
      <c r="J15" t="s">
        <v>20</v>
      </c>
      <c r="K15" s="2">
        <f t="shared" si="1"/>
        <v>17.108724180222072</v>
      </c>
      <c r="L15" s="2" t="str">
        <f t="shared" si="0"/>
        <v>Underweight</v>
      </c>
    </row>
    <row r="16" spans="1:12" x14ac:dyDescent="0.35">
      <c r="A16" t="s">
        <v>31</v>
      </c>
      <c r="B16">
        <v>25</v>
      </c>
      <c r="C16" t="s">
        <v>19</v>
      </c>
      <c r="D16">
        <v>92.58</v>
      </c>
      <c r="E16">
        <v>15.13</v>
      </c>
      <c r="F16">
        <v>2</v>
      </c>
      <c r="G16">
        <v>2</v>
      </c>
      <c r="H16">
        <v>2</v>
      </c>
      <c r="I16">
        <v>1.6</v>
      </c>
      <c r="J16" t="s">
        <v>14</v>
      </c>
      <c r="K16" s="2">
        <f t="shared" si="1"/>
        <v>17.652433135313405</v>
      </c>
      <c r="L16" s="2" t="str">
        <f t="shared" si="0"/>
        <v>Underweight</v>
      </c>
    </row>
    <row r="17" spans="1:12" x14ac:dyDescent="0.35">
      <c r="A17" t="s">
        <v>32</v>
      </c>
      <c r="B17">
        <v>38</v>
      </c>
      <c r="C17" t="s">
        <v>19</v>
      </c>
      <c r="D17">
        <v>99.65</v>
      </c>
      <c r="E17">
        <v>16.940000000000001</v>
      </c>
      <c r="F17">
        <v>1</v>
      </c>
      <c r="G17">
        <v>3</v>
      </c>
      <c r="H17">
        <v>3</v>
      </c>
      <c r="I17">
        <v>2.1</v>
      </c>
      <c r="J17" t="s">
        <v>14</v>
      </c>
      <c r="K17" s="2">
        <f t="shared" si="1"/>
        <v>17.059205462973896</v>
      </c>
      <c r="L17" s="2" t="str">
        <f t="shared" si="0"/>
        <v>Underweight</v>
      </c>
    </row>
    <row r="18" spans="1:12" x14ac:dyDescent="0.35">
      <c r="A18" t="s">
        <v>33</v>
      </c>
      <c r="B18">
        <v>38</v>
      </c>
      <c r="C18" t="s">
        <v>11</v>
      </c>
      <c r="D18">
        <v>98.91</v>
      </c>
      <c r="E18">
        <v>19.489999999999998</v>
      </c>
      <c r="F18">
        <v>0</v>
      </c>
      <c r="G18">
        <v>0</v>
      </c>
      <c r="H18">
        <v>3</v>
      </c>
      <c r="I18">
        <v>3.1</v>
      </c>
      <c r="J18" t="s">
        <v>14</v>
      </c>
      <c r="K18" s="2">
        <f t="shared" si="1"/>
        <v>19.92193117497148</v>
      </c>
      <c r="L18" s="3" t="str">
        <f t="shared" si="0"/>
        <v>Healthy Weight</v>
      </c>
    </row>
    <row r="19" spans="1:12" x14ac:dyDescent="0.35">
      <c r="A19" t="s">
        <v>34</v>
      </c>
      <c r="B19">
        <v>25</v>
      </c>
      <c r="C19" t="s">
        <v>11</v>
      </c>
      <c r="D19">
        <v>96.42</v>
      </c>
      <c r="E19">
        <v>14.69</v>
      </c>
      <c r="F19">
        <v>1</v>
      </c>
      <c r="G19">
        <v>3</v>
      </c>
      <c r="H19">
        <v>2</v>
      </c>
      <c r="I19">
        <v>1.2</v>
      </c>
      <c r="J19" t="s">
        <v>24</v>
      </c>
      <c r="K19" s="2">
        <f t="shared" si="1"/>
        <v>15.801108000799067</v>
      </c>
      <c r="L19" s="2" t="str">
        <f t="shared" si="0"/>
        <v>Underweight</v>
      </c>
    </row>
    <row r="20" spans="1:12" x14ac:dyDescent="0.35">
      <c r="A20" t="s">
        <v>35</v>
      </c>
      <c r="B20">
        <v>57</v>
      </c>
      <c r="C20" t="s">
        <v>11</v>
      </c>
      <c r="D20">
        <v>109.26</v>
      </c>
      <c r="E20">
        <v>20.61</v>
      </c>
      <c r="F20">
        <v>3</v>
      </c>
      <c r="G20">
        <v>2</v>
      </c>
      <c r="H20">
        <v>1</v>
      </c>
      <c r="I20">
        <v>2</v>
      </c>
      <c r="J20" t="s">
        <v>20</v>
      </c>
      <c r="K20" s="2">
        <f t="shared" si="1"/>
        <v>17.264563375422682</v>
      </c>
      <c r="L20" s="2" t="str">
        <f t="shared" si="0"/>
        <v>Underweight</v>
      </c>
    </row>
    <row r="21" spans="1:12" x14ac:dyDescent="0.35">
      <c r="A21" t="s">
        <v>36</v>
      </c>
      <c r="B21">
        <v>34</v>
      </c>
      <c r="C21" t="s">
        <v>19</v>
      </c>
      <c r="D21">
        <v>98.22</v>
      </c>
      <c r="E21">
        <v>15.49</v>
      </c>
      <c r="F21">
        <v>1</v>
      </c>
      <c r="G21">
        <v>2</v>
      </c>
      <c r="H21">
        <v>0</v>
      </c>
      <c r="I21">
        <v>0.8</v>
      </c>
      <c r="J21" t="s">
        <v>14</v>
      </c>
      <c r="K21" s="2">
        <f t="shared" si="1"/>
        <v>16.056524938447225</v>
      </c>
      <c r="L21" s="2" t="str">
        <f t="shared" si="0"/>
        <v>Underweight</v>
      </c>
    </row>
    <row r="22" spans="1:12" x14ac:dyDescent="0.35">
      <c r="A22" t="s">
        <v>37</v>
      </c>
      <c r="B22">
        <v>35</v>
      </c>
      <c r="C22" t="s">
        <v>11</v>
      </c>
      <c r="D22">
        <v>101.02</v>
      </c>
      <c r="E22">
        <v>16.760000000000002</v>
      </c>
      <c r="F22">
        <v>3</v>
      </c>
      <c r="G22">
        <v>2</v>
      </c>
      <c r="H22">
        <v>2</v>
      </c>
      <c r="I22">
        <v>1.9</v>
      </c>
      <c r="J22" t="s">
        <v>12</v>
      </c>
      <c r="K22" s="2">
        <f t="shared" si="1"/>
        <v>16.423256883921791</v>
      </c>
      <c r="L22" s="2" t="str">
        <f t="shared" si="0"/>
        <v>Underweight</v>
      </c>
    </row>
    <row r="23" spans="1:12" x14ac:dyDescent="0.35">
      <c r="A23" t="s">
        <v>38</v>
      </c>
      <c r="B23">
        <v>56</v>
      </c>
      <c r="C23" t="s">
        <v>19</v>
      </c>
      <c r="D23">
        <v>111.44</v>
      </c>
      <c r="E23">
        <v>21.87</v>
      </c>
      <c r="F23">
        <v>4</v>
      </c>
      <c r="G23">
        <v>1</v>
      </c>
      <c r="H23">
        <v>2</v>
      </c>
      <c r="I23">
        <v>1.9</v>
      </c>
      <c r="J23" t="s">
        <v>20</v>
      </c>
      <c r="K23" s="2">
        <f t="shared" si="1"/>
        <v>17.610292772445963</v>
      </c>
      <c r="L23" s="2" t="str">
        <f t="shared" si="0"/>
        <v>Underweight</v>
      </c>
    </row>
    <row r="24" spans="1:12" x14ac:dyDescent="0.35">
      <c r="A24" t="s">
        <v>39</v>
      </c>
      <c r="B24">
        <v>46</v>
      </c>
      <c r="C24" t="s">
        <v>19</v>
      </c>
      <c r="D24">
        <v>103.85</v>
      </c>
      <c r="E24">
        <v>19.47</v>
      </c>
      <c r="F24">
        <v>2</v>
      </c>
      <c r="G24">
        <v>4</v>
      </c>
      <c r="H24">
        <v>3</v>
      </c>
      <c r="I24">
        <v>2.9</v>
      </c>
      <c r="J24" t="s">
        <v>20</v>
      </c>
      <c r="K24" s="2">
        <f t="shared" si="1"/>
        <v>18.053148301698982</v>
      </c>
      <c r="L24" s="2" t="str">
        <f t="shared" si="0"/>
        <v>Underweight</v>
      </c>
    </row>
    <row r="25" spans="1:12" x14ac:dyDescent="0.35">
      <c r="A25" t="s">
        <v>40</v>
      </c>
      <c r="B25">
        <v>35</v>
      </c>
      <c r="C25" t="s">
        <v>11</v>
      </c>
      <c r="D25">
        <v>102.67</v>
      </c>
      <c r="E25">
        <v>13.79</v>
      </c>
      <c r="F25">
        <v>4</v>
      </c>
      <c r="G25">
        <v>1</v>
      </c>
      <c r="H25">
        <v>1</v>
      </c>
      <c r="I25">
        <v>2</v>
      </c>
      <c r="J25" t="s">
        <v>14</v>
      </c>
      <c r="K25" s="2">
        <f t="shared" si="1"/>
        <v>13.082090287312587</v>
      </c>
      <c r="L25" s="2" t="str">
        <f t="shared" si="0"/>
        <v>Underweight</v>
      </c>
    </row>
    <row r="26" spans="1:12" x14ac:dyDescent="0.35">
      <c r="A26" t="s">
        <v>41</v>
      </c>
      <c r="B26">
        <v>52</v>
      </c>
      <c r="C26" t="s">
        <v>19</v>
      </c>
      <c r="D26">
        <v>107.91</v>
      </c>
      <c r="E26">
        <v>19.27</v>
      </c>
      <c r="F26">
        <v>4</v>
      </c>
      <c r="G26">
        <v>0</v>
      </c>
      <c r="H26">
        <v>0</v>
      </c>
      <c r="I26">
        <v>0.8</v>
      </c>
      <c r="J26" t="s">
        <v>20</v>
      </c>
      <c r="K26" s="2">
        <f t="shared" si="1"/>
        <v>16.548488389191526</v>
      </c>
      <c r="L26" s="2" t="str">
        <f t="shared" si="0"/>
        <v>Underweight</v>
      </c>
    </row>
    <row r="27" spans="1:12" x14ac:dyDescent="0.35">
      <c r="A27" t="s">
        <v>42</v>
      </c>
      <c r="B27">
        <v>30</v>
      </c>
      <c r="C27" t="s">
        <v>11</v>
      </c>
      <c r="D27">
        <v>96.67</v>
      </c>
      <c r="E27">
        <v>15.72</v>
      </c>
      <c r="F27">
        <v>3</v>
      </c>
      <c r="G27">
        <v>1</v>
      </c>
      <c r="H27">
        <v>2</v>
      </c>
      <c r="I27">
        <v>1.2</v>
      </c>
      <c r="J27" t="s">
        <v>24</v>
      </c>
      <c r="K27" s="2">
        <f t="shared" si="1"/>
        <v>16.821669829165565</v>
      </c>
      <c r="L27" s="2" t="str">
        <f t="shared" si="0"/>
        <v>Underweight</v>
      </c>
    </row>
    <row r="28" spans="1:12" x14ac:dyDescent="0.35">
      <c r="A28" t="s">
        <v>43</v>
      </c>
      <c r="B28">
        <v>35</v>
      </c>
      <c r="C28" t="s">
        <v>19</v>
      </c>
      <c r="D28">
        <v>101.41</v>
      </c>
      <c r="E28">
        <v>19.45</v>
      </c>
      <c r="F28">
        <v>0</v>
      </c>
      <c r="G28">
        <v>4</v>
      </c>
      <c r="H28">
        <v>2</v>
      </c>
      <c r="I28">
        <v>1.9</v>
      </c>
      <c r="J28" t="s">
        <v>12</v>
      </c>
      <c r="K28" s="2">
        <f t="shared" si="1"/>
        <v>18.912896252767929</v>
      </c>
      <c r="L28" s="3" t="str">
        <f t="shared" si="0"/>
        <v>Healthy Weight</v>
      </c>
    </row>
    <row r="29" spans="1:12" x14ac:dyDescent="0.35">
      <c r="A29" t="s">
        <v>44</v>
      </c>
      <c r="B29">
        <v>32</v>
      </c>
      <c r="C29" t="s">
        <v>11</v>
      </c>
      <c r="D29">
        <v>102.28</v>
      </c>
      <c r="E29">
        <v>11.75</v>
      </c>
      <c r="F29">
        <v>2</v>
      </c>
      <c r="G29">
        <v>1</v>
      </c>
      <c r="H29">
        <v>1</v>
      </c>
      <c r="I29">
        <v>1.3</v>
      </c>
      <c r="J29" t="s">
        <v>20</v>
      </c>
      <c r="K29" s="2">
        <f t="shared" si="1"/>
        <v>11.23198275256877</v>
      </c>
      <c r="L29" s="2" t="str">
        <f t="shared" si="0"/>
        <v>Underweight</v>
      </c>
    </row>
    <row r="30" spans="1:12" x14ac:dyDescent="0.35">
      <c r="A30" t="s">
        <v>45</v>
      </c>
      <c r="B30">
        <v>46</v>
      </c>
      <c r="C30" t="s">
        <v>19</v>
      </c>
      <c r="D30">
        <v>105.06</v>
      </c>
      <c r="E30">
        <v>17.260000000000002</v>
      </c>
      <c r="F30">
        <v>4</v>
      </c>
      <c r="G30">
        <v>1</v>
      </c>
      <c r="H30">
        <v>2</v>
      </c>
      <c r="I30">
        <v>0.8</v>
      </c>
      <c r="J30" t="s">
        <v>14</v>
      </c>
      <c r="K30" s="2">
        <f t="shared" si="1"/>
        <v>15.637452318001349</v>
      </c>
      <c r="L30" s="2" t="str">
        <f t="shared" si="0"/>
        <v>Underweight</v>
      </c>
    </row>
    <row r="31" spans="1:12" x14ac:dyDescent="0.35">
      <c r="A31" t="s">
        <v>46</v>
      </c>
      <c r="B31">
        <v>43</v>
      </c>
      <c r="C31" t="s">
        <v>19</v>
      </c>
      <c r="D31">
        <v>103.22</v>
      </c>
      <c r="E31">
        <v>20.74</v>
      </c>
      <c r="F31">
        <v>2</v>
      </c>
      <c r="G31">
        <v>2</v>
      </c>
      <c r="H31">
        <v>3</v>
      </c>
      <c r="I31">
        <v>2.1</v>
      </c>
      <c r="J31" t="s">
        <v>12</v>
      </c>
      <c r="K31" s="2">
        <f t="shared" si="1"/>
        <v>19.466193791459283</v>
      </c>
      <c r="L31" s="3" t="str">
        <f t="shared" si="0"/>
        <v>Healthy Weight</v>
      </c>
    </row>
    <row r="32" spans="1:12" x14ac:dyDescent="0.35">
      <c r="A32" t="s">
        <v>47</v>
      </c>
      <c r="B32">
        <v>46</v>
      </c>
      <c r="C32" t="s">
        <v>11</v>
      </c>
      <c r="D32">
        <v>105.42</v>
      </c>
      <c r="E32">
        <v>20.23</v>
      </c>
      <c r="F32">
        <v>4</v>
      </c>
      <c r="G32">
        <v>0</v>
      </c>
      <c r="H32">
        <v>2</v>
      </c>
      <c r="I32">
        <v>2.2999999999999998</v>
      </c>
      <c r="J32" t="s">
        <v>27</v>
      </c>
      <c r="K32" s="2">
        <f t="shared" si="1"/>
        <v>18.203288786295403</v>
      </c>
      <c r="L32" s="2" t="str">
        <f t="shared" si="0"/>
        <v>Underweight</v>
      </c>
    </row>
    <row r="33" spans="1:12" x14ac:dyDescent="0.35">
      <c r="A33" t="s">
        <v>48</v>
      </c>
      <c r="B33">
        <v>32</v>
      </c>
      <c r="C33" t="s">
        <v>19</v>
      </c>
      <c r="D33">
        <v>97.29</v>
      </c>
      <c r="E33">
        <v>12.89</v>
      </c>
      <c r="F33">
        <v>4</v>
      </c>
      <c r="G33">
        <v>2</v>
      </c>
      <c r="H33">
        <v>2</v>
      </c>
      <c r="I33">
        <v>1.3</v>
      </c>
      <c r="J33" t="s">
        <v>14</v>
      </c>
      <c r="K33" s="2">
        <f t="shared" si="1"/>
        <v>13.618099737124188</v>
      </c>
      <c r="L33" s="2" t="str">
        <f t="shared" si="0"/>
        <v>Underweight</v>
      </c>
    </row>
    <row r="34" spans="1:12" x14ac:dyDescent="0.35">
      <c r="A34" t="s">
        <v>49</v>
      </c>
      <c r="B34">
        <v>46</v>
      </c>
      <c r="C34" t="s">
        <v>19</v>
      </c>
      <c r="D34">
        <v>106.22</v>
      </c>
      <c r="E34">
        <v>19.48</v>
      </c>
      <c r="F34">
        <v>4</v>
      </c>
      <c r="G34">
        <v>3</v>
      </c>
      <c r="H34">
        <v>0</v>
      </c>
      <c r="I34">
        <v>0.7</v>
      </c>
      <c r="J34" t="s">
        <v>12</v>
      </c>
      <c r="K34" s="2">
        <f t="shared" ref="K34:K65" si="2">E34 / ((D34 / 100) ^ 2)</f>
        <v>17.26538862847617</v>
      </c>
      <c r="L34" s="2" t="str">
        <f t="shared" ref="L34:L65" si="3">IF(K34&lt;18.5,"Underweight",IF(K34&lt;25,"Healthy Weight",IF(K34&lt;30,"Overweight","Obese")))</f>
        <v>Underweight</v>
      </c>
    </row>
    <row r="35" spans="1:12" x14ac:dyDescent="0.35">
      <c r="A35" t="s">
        <v>50</v>
      </c>
      <c r="B35">
        <v>56</v>
      </c>
      <c r="C35" t="s">
        <v>11</v>
      </c>
      <c r="D35">
        <v>114.63</v>
      </c>
      <c r="E35">
        <v>20.11</v>
      </c>
      <c r="F35">
        <v>2</v>
      </c>
      <c r="G35">
        <v>1</v>
      </c>
      <c r="H35">
        <v>0</v>
      </c>
      <c r="I35">
        <v>0.8</v>
      </c>
      <c r="J35" t="s">
        <v>27</v>
      </c>
      <c r="K35" s="2">
        <f t="shared" si="2"/>
        <v>15.304371025015923</v>
      </c>
      <c r="L35" s="2" t="str">
        <f t="shared" si="3"/>
        <v>Underweight</v>
      </c>
    </row>
    <row r="36" spans="1:12" x14ac:dyDescent="0.35">
      <c r="A36" t="s">
        <v>51</v>
      </c>
      <c r="B36">
        <v>30</v>
      </c>
      <c r="C36" t="s">
        <v>11</v>
      </c>
      <c r="D36">
        <v>93.15</v>
      </c>
      <c r="E36">
        <v>14.24</v>
      </c>
      <c r="F36">
        <v>1</v>
      </c>
      <c r="G36">
        <v>1</v>
      </c>
      <c r="H36">
        <v>2</v>
      </c>
      <c r="I36">
        <v>1.3</v>
      </c>
      <c r="J36" t="s">
        <v>14</v>
      </c>
      <c r="K36" s="2">
        <f t="shared" si="2"/>
        <v>16.411348608910586</v>
      </c>
      <c r="L36" s="2" t="str">
        <f t="shared" si="3"/>
        <v>Underweight</v>
      </c>
    </row>
    <row r="37" spans="1:12" x14ac:dyDescent="0.35">
      <c r="A37" t="s">
        <v>52</v>
      </c>
      <c r="B37">
        <v>44</v>
      </c>
      <c r="C37" t="s">
        <v>11</v>
      </c>
      <c r="D37">
        <v>102.36</v>
      </c>
      <c r="E37">
        <v>19.600000000000001</v>
      </c>
      <c r="F37">
        <v>1</v>
      </c>
      <c r="G37">
        <v>2</v>
      </c>
      <c r="H37">
        <v>0</v>
      </c>
      <c r="I37">
        <v>0.9</v>
      </c>
      <c r="J37" t="s">
        <v>27</v>
      </c>
      <c r="K37" s="2">
        <f t="shared" si="2"/>
        <v>18.706628300517327</v>
      </c>
      <c r="L37" s="3" t="str">
        <f t="shared" si="3"/>
        <v>Healthy Weight</v>
      </c>
    </row>
    <row r="38" spans="1:12" x14ac:dyDescent="0.35">
      <c r="A38" t="s">
        <v>53</v>
      </c>
      <c r="B38">
        <v>43</v>
      </c>
      <c r="C38" t="s">
        <v>11</v>
      </c>
      <c r="D38">
        <v>105.34</v>
      </c>
      <c r="E38">
        <v>14.14</v>
      </c>
      <c r="F38">
        <v>4</v>
      </c>
      <c r="G38">
        <v>3</v>
      </c>
      <c r="H38">
        <v>0</v>
      </c>
      <c r="I38">
        <v>0.8</v>
      </c>
      <c r="J38" t="s">
        <v>20</v>
      </c>
      <c r="K38" s="2">
        <f t="shared" si="2"/>
        <v>12.742738810730817</v>
      </c>
      <c r="L38" s="2" t="str">
        <f t="shared" si="3"/>
        <v>Underweight</v>
      </c>
    </row>
    <row r="39" spans="1:12" x14ac:dyDescent="0.35">
      <c r="A39" t="s">
        <v>54</v>
      </c>
      <c r="B39">
        <v>31</v>
      </c>
      <c r="C39" t="s">
        <v>11</v>
      </c>
      <c r="D39">
        <v>96.26</v>
      </c>
      <c r="E39">
        <v>17.63</v>
      </c>
      <c r="F39">
        <v>3</v>
      </c>
      <c r="G39">
        <v>3</v>
      </c>
      <c r="H39">
        <v>2</v>
      </c>
      <c r="I39">
        <v>1.7</v>
      </c>
      <c r="J39" t="s">
        <v>20</v>
      </c>
      <c r="K39" s="2">
        <f t="shared" si="2"/>
        <v>19.026574134418222</v>
      </c>
      <c r="L39" s="3" t="str">
        <f t="shared" si="3"/>
        <v>Healthy Weight</v>
      </c>
    </row>
    <row r="40" spans="1:12" x14ac:dyDescent="0.35">
      <c r="A40" t="s">
        <v>55</v>
      </c>
      <c r="B40">
        <v>28</v>
      </c>
      <c r="C40" t="s">
        <v>19</v>
      </c>
      <c r="D40">
        <v>97.25</v>
      </c>
      <c r="E40">
        <v>14.98</v>
      </c>
      <c r="F40">
        <v>3</v>
      </c>
      <c r="G40">
        <v>4</v>
      </c>
      <c r="H40">
        <v>3</v>
      </c>
      <c r="I40">
        <v>3.2</v>
      </c>
      <c r="J40" t="s">
        <v>14</v>
      </c>
      <c r="K40" s="2">
        <f t="shared" si="2"/>
        <v>15.839176320537135</v>
      </c>
      <c r="L40" s="2" t="str">
        <f t="shared" si="3"/>
        <v>Underweight</v>
      </c>
    </row>
    <row r="41" spans="1:12" x14ac:dyDescent="0.35">
      <c r="A41" t="s">
        <v>56</v>
      </c>
      <c r="B41">
        <v>48</v>
      </c>
      <c r="C41" t="s">
        <v>19</v>
      </c>
      <c r="D41">
        <v>108.23</v>
      </c>
      <c r="E41">
        <v>21</v>
      </c>
      <c r="F41">
        <v>3</v>
      </c>
      <c r="G41">
        <v>4</v>
      </c>
      <c r="H41">
        <v>0</v>
      </c>
      <c r="I41">
        <v>0.6</v>
      </c>
      <c r="J41" t="s">
        <v>14</v>
      </c>
      <c r="K41" s="2">
        <f t="shared" si="2"/>
        <v>17.927675301525785</v>
      </c>
      <c r="L41" s="2" t="str">
        <f t="shared" si="3"/>
        <v>Underweight</v>
      </c>
    </row>
    <row r="42" spans="1:12" x14ac:dyDescent="0.35">
      <c r="A42" t="s">
        <v>57</v>
      </c>
      <c r="B42">
        <v>27</v>
      </c>
      <c r="C42" t="s">
        <v>19</v>
      </c>
      <c r="D42">
        <v>97</v>
      </c>
      <c r="E42">
        <v>15.12</v>
      </c>
      <c r="F42">
        <v>4</v>
      </c>
      <c r="G42">
        <v>0</v>
      </c>
      <c r="H42">
        <v>1</v>
      </c>
      <c r="I42">
        <v>1.7</v>
      </c>
      <c r="J42" t="s">
        <v>24</v>
      </c>
      <c r="K42" s="2">
        <f t="shared" si="2"/>
        <v>16.069720480391116</v>
      </c>
      <c r="L42" s="2" t="str">
        <f t="shared" si="3"/>
        <v>Underweight</v>
      </c>
    </row>
    <row r="43" spans="1:12" x14ac:dyDescent="0.35">
      <c r="A43" t="s">
        <v>58</v>
      </c>
      <c r="B43">
        <v>45</v>
      </c>
      <c r="C43" t="s">
        <v>19</v>
      </c>
      <c r="D43">
        <v>107.27</v>
      </c>
      <c r="E43">
        <v>22.7</v>
      </c>
      <c r="F43">
        <v>4</v>
      </c>
      <c r="G43">
        <v>0</v>
      </c>
      <c r="H43">
        <v>0</v>
      </c>
      <c r="I43">
        <v>0.8</v>
      </c>
      <c r="J43" t="s">
        <v>12</v>
      </c>
      <c r="K43" s="2">
        <f t="shared" si="2"/>
        <v>19.727374806364303</v>
      </c>
      <c r="L43" s="3" t="str">
        <f t="shared" si="3"/>
        <v>Healthy Weight</v>
      </c>
    </row>
    <row r="44" spans="1:12" x14ac:dyDescent="0.35">
      <c r="A44" t="s">
        <v>59</v>
      </c>
      <c r="B44">
        <v>54</v>
      </c>
      <c r="C44" t="s">
        <v>19</v>
      </c>
      <c r="D44">
        <v>112.46</v>
      </c>
      <c r="E44">
        <v>21.36</v>
      </c>
      <c r="F44">
        <v>2</v>
      </c>
      <c r="G44">
        <v>0</v>
      </c>
      <c r="H44">
        <v>1</v>
      </c>
      <c r="I44">
        <v>1</v>
      </c>
      <c r="J44" t="s">
        <v>14</v>
      </c>
      <c r="K44" s="2">
        <f t="shared" si="2"/>
        <v>16.889044889405064</v>
      </c>
      <c r="L44" s="2" t="str">
        <f t="shared" si="3"/>
        <v>Underweight</v>
      </c>
    </row>
    <row r="45" spans="1:12" x14ac:dyDescent="0.35">
      <c r="A45" t="s">
        <v>60</v>
      </c>
      <c r="B45">
        <v>40</v>
      </c>
      <c r="C45" t="s">
        <v>19</v>
      </c>
      <c r="D45">
        <v>103.32</v>
      </c>
      <c r="E45">
        <v>17.41</v>
      </c>
      <c r="F45">
        <v>1</v>
      </c>
      <c r="G45">
        <v>0</v>
      </c>
      <c r="H45">
        <v>2</v>
      </c>
      <c r="I45">
        <v>2</v>
      </c>
      <c r="J45" t="s">
        <v>20</v>
      </c>
      <c r="K45" s="2">
        <f t="shared" si="2"/>
        <v>16.309099267089127</v>
      </c>
      <c r="L45" s="2" t="str">
        <f t="shared" si="3"/>
        <v>Underweight</v>
      </c>
    </row>
    <row r="46" spans="1:12" x14ac:dyDescent="0.35">
      <c r="A46" t="s">
        <v>61</v>
      </c>
      <c r="B46">
        <v>52</v>
      </c>
      <c r="C46" t="s">
        <v>11</v>
      </c>
      <c r="D46">
        <v>107.31</v>
      </c>
      <c r="E46">
        <v>17.34</v>
      </c>
      <c r="F46">
        <v>1</v>
      </c>
      <c r="G46">
        <v>3</v>
      </c>
      <c r="H46">
        <v>0</v>
      </c>
      <c r="I46">
        <v>0.5</v>
      </c>
      <c r="J46" t="s">
        <v>24</v>
      </c>
      <c r="K46" s="2">
        <f t="shared" si="2"/>
        <v>15.058048908803379</v>
      </c>
      <c r="L46" s="2" t="str">
        <f t="shared" si="3"/>
        <v>Underweight</v>
      </c>
    </row>
    <row r="47" spans="1:12" x14ac:dyDescent="0.35">
      <c r="A47" t="s">
        <v>62</v>
      </c>
      <c r="B47">
        <v>34</v>
      </c>
      <c r="C47" t="s">
        <v>19</v>
      </c>
      <c r="D47">
        <v>99.12</v>
      </c>
      <c r="E47">
        <v>17.43</v>
      </c>
      <c r="F47">
        <v>3</v>
      </c>
      <c r="G47">
        <v>4</v>
      </c>
      <c r="H47">
        <v>3</v>
      </c>
      <c r="I47">
        <v>1.6</v>
      </c>
      <c r="J47" t="s">
        <v>12</v>
      </c>
      <c r="K47" s="2">
        <f t="shared" si="2"/>
        <v>17.740865378038603</v>
      </c>
      <c r="L47" s="2" t="str">
        <f t="shared" si="3"/>
        <v>Underweight</v>
      </c>
    </row>
    <row r="48" spans="1:12" x14ac:dyDescent="0.35">
      <c r="A48" t="s">
        <v>63</v>
      </c>
      <c r="B48">
        <v>27</v>
      </c>
      <c r="C48" t="s">
        <v>19</v>
      </c>
      <c r="D48">
        <v>93.16</v>
      </c>
      <c r="E48">
        <v>15.53</v>
      </c>
      <c r="F48">
        <v>2</v>
      </c>
      <c r="G48">
        <v>2</v>
      </c>
      <c r="H48">
        <v>0</v>
      </c>
      <c r="I48">
        <v>0.8</v>
      </c>
      <c r="J48" t="s">
        <v>14</v>
      </c>
      <c r="K48" s="2">
        <f t="shared" si="2"/>
        <v>17.89420860909388</v>
      </c>
      <c r="L48" s="2" t="str">
        <f t="shared" si="3"/>
        <v>Underweight</v>
      </c>
    </row>
    <row r="49" spans="1:12" x14ac:dyDescent="0.35">
      <c r="A49" t="s">
        <v>64</v>
      </c>
      <c r="B49">
        <v>55</v>
      </c>
      <c r="C49" t="s">
        <v>19</v>
      </c>
      <c r="D49">
        <v>111.49</v>
      </c>
      <c r="E49">
        <v>20.23</v>
      </c>
      <c r="F49">
        <v>1</v>
      </c>
      <c r="G49">
        <v>0</v>
      </c>
      <c r="H49">
        <v>1</v>
      </c>
      <c r="I49">
        <v>1.6</v>
      </c>
      <c r="J49" t="s">
        <v>24</v>
      </c>
      <c r="K49" s="2">
        <f t="shared" si="2"/>
        <v>16.27511447065158</v>
      </c>
      <c r="L49" s="2" t="str">
        <f t="shared" si="3"/>
        <v>Underweight</v>
      </c>
    </row>
    <row r="50" spans="1:12" x14ac:dyDescent="0.35">
      <c r="A50" t="s">
        <v>65</v>
      </c>
      <c r="B50">
        <v>42</v>
      </c>
      <c r="C50" t="s">
        <v>11</v>
      </c>
      <c r="D50">
        <v>108.71</v>
      </c>
      <c r="E50">
        <v>16.2</v>
      </c>
      <c r="F50">
        <v>2</v>
      </c>
      <c r="G50">
        <v>1</v>
      </c>
      <c r="H50">
        <v>3</v>
      </c>
      <c r="I50">
        <v>1.1000000000000001</v>
      </c>
      <c r="J50" t="s">
        <v>24</v>
      </c>
      <c r="K50" s="2">
        <f t="shared" si="2"/>
        <v>13.708060833090812</v>
      </c>
      <c r="L50" s="2" t="str">
        <f t="shared" si="3"/>
        <v>Underweight</v>
      </c>
    </row>
    <row r="51" spans="1:12" x14ac:dyDescent="0.35">
      <c r="A51" t="s">
        <v>66</v>
      </c>
      <c r="B51">
        <v>36</v>
      </c>
      <c r="C51" t="s">
        <v>11</v>
      </c>
      <c r="D51">
        <v>97.21</v>
      </c>
      <c r="E51">
        <v>13.41</v>
      </c>
      <c r="F51">
        <v>4</v>
      </c>
      <c r="G51">
        <v>3</v>
      </c>
      <c r="H51">
        <v>1</v>
      </c>
      <c r="I51">
        <v>0.9</v>
      </c>
      <c r="J51" t="s">
        <v>14</v>
      </c>
      <c r="K51" s="2">
        <f t="shared" si="2"/>
        <v>14.190800401461026</v>
      </c>
      <c r="L51" s="2" t="str">
        <f t="shared" si="3"/>
        <v>Underweight</v>
      </c>
    </row>
    <row r="52" spans="1:12" x14ac:dyDescent="0.35">
      <c r="A52" t="s">
        <v>67</v>
      </c>
      <c r="B52">
        <v>34</v>
      </c>
      <c r="C52" t="s">
        <v>11</v>
      </c>
      <c r="D52">
        <v>98.46</v>
      </c>
      <c r="E52">
        <v>15.38</v>
      </c>
      <c r="F52">
        <v>3</v>
      </c>
      <c r="G52">
        <v>2</v>
      </c>
      <c r="H52">
        <v>2</v>
      </c>
      <c r="I52">
        <v>1.2</v>
      </c>
      <c r="J52" t="s">
        <v>12</v>
      </c>
      <c r="K52" s="2">
        <f t="shared" si="2"/>
        <v>15.864875656303504</v>
      </c>
      <c r="L52" s="2" t="str">
        <f t="shared" si="3"/>
        <v>Underweight</v>
      </c>
    </row>
    <row r="53" spans="1:12" x14ac:dyDescent="0.35">
      <c r="A53" t="s">
        <v>68</v>
      </c>
      <c r="B53">
        <v>40</v>
      </c>
      <c r="C53" t="s">
        <v>11</v>
      </c>
      <c r="D53">
        <v>100.6</v>
      </c>
      <c r="E53">
        <v>17.309999999999999</v>
      </c>
      <c r="F53">
        <v>0</v>
      </c>
      <c r="G53">
        <v>3</v>
      </c>
      <c r="H53">
        <v>0</v>
      </c>
      <c r="I53">
        <v>0.6</v>
      </c>
      <c r="J53" t="s">
        <v>27</v>
      </c>
      <c r="K53" s="2">
        <f t="shared" si="2"/>
        <v>17.104134635526798</v>
      </c>
      <c r="L53" s="2" t="str">
        <f t="shared" si="3"/>
        <v>Underweight</v>
      </c>
    </row>
    <row r="54" spans="1:12" x14ac:dyDescent="0.35">
      <c r="A54" t="s">
        <v>69</v>
      </c>
      <c r="B54">
        <v>39</v>
      </c>
      <c r="C54" t="s">
        <v>11</v>
      </c>
      <c r="D54">
        <v>96.54</v>
      </c>
      <c r="E54">
        <v>18.239999999999998</v>
      </c>
      <c r="F54">
        <v>4</v>
      </c>
      <c r="G54">
        <v>3</v>
      </c>
      <c r="H54">
        <v>1</v>
      </c>
      <c r="I54">
        <v>1.9</v>
      </c>
      <c r="J54" t="s">
        <v>27</v>
      </c>
      <c r="K54" s="2">
        <f t="shared" si="2"/>
        <v>19.570875087215928</v>
      </c>
      <c r="L54" s="3" t="str">
        <f t="shared" si="3"/>
        <v>Healthy Weight</v>
      </c>
    </row>
    <row r="55" spans="1:12" x14ac:dyDescent="0.35">
      <c r="A55" t="s">
        <v>70</v>
      </c>
      <c r="B55">
        <v>57</v>
      </c>
      <c r="C55" t="s">
        <v>19</v>
      </c>
      <c r="D55">
        <v>110.58</v>
      </c>
      <c r="E55">
        <v>21.99</v>
      </c>
      <c r="F55">
        <v>3</v>
      </c>
      <c r="G55">
        <v>0</v>
      </c>
      <c r="H55">
        <v>0</v>
      </c>
      <c r="I55">
        <v>0.9</v>
      </c>
      <c r="J55" t="s">
        <v>12</v>
      </c>
      <c r="K55" s="2">
        <f t="shared" si="2"/>
        <v>17.983410512341237</v>
      </c>
      <c r="L55" s="2" t="str">
        <f t="shared" si="3"/>
        <v>Underweight</v>
      </c>
    </row>
    <row r="56" spans="1:12" x14ac:dyDescent="0.35">
      <c r="A56" t="s">
        <v>71</v>
      </c>
      <c r="B56">
        <v>50</v>
      </c>
      <c r="C56" t="s">
        <v>11</v>
      </c>
      <c r="D56">
        <v>114.47</v>
      </c>
      <c r="E56">
        <v>18.010000000000002</v>
      </c>
      <c r="F56">
        <v>1</v>
      </c>
      <c r="G56">
        <v>3</v>
      </c>
      <c r="H56">
        <v>0</v>
      </c>
      <c r="I56">
        <v>0.6</v>
      </c>
      <c r="J56" t="s">
        <v>24</v>
      </c>
      <c r="K56" s="2">
        <f t="shared" si="2"/>
        <v>13.744544356487417</v>
      </c>
      <c r="L56" s="2" t="str">
        <f t="shared" si="3"/>
        <v>Underweight</v>
      </c>
    </row>
    <row r="57" spans="1:12" x14ac:dyDescent="0.35">
      <c r="A57" t="s">
        <v>72</v>
      </c>
      <c r="B57">
        <v>31</v>
      </c>
      <c r="C57" t="s">
        <v>11</v>
      </c>
      <c r="D57">
        <v>96.28</v>
      </c>
      <c r="E57">
        <v>16.84</v>
      </c>
      <c r="F57">
        <v>4</v>
      </c>
      <c r="G57">
        <v>2</v>
      </c>
      <c r="H57">
        <v>3</v>
      </c>
      <c r="I57">
        <v>0.5</v>
      </c>
      <c r="J57" t="s">
        <v>20</v>
      </c>
      <c r="K57" s="2">
        <f t="shared" si="2"/>
        <v>18.166443980296357</v>
      </c>
      <c r="L57" s="2" t="str">
        <f t="shared" si="3"/>
        <v>Underweight</v>
      </c>
    </row>
    <row r="58" spans="1:12" x14ac:dyDescent="0.35">
      <c r="A58" t="s">
        <v>73</v>
      </c>
      <c r="B58">
        <v>44</v>
      </c>
      <c r="C58" t="s">
        <v>11</v>
      </c>
      <c r="D58">
        <v>104.76</v>
      </c>
      <c r="E58">
        <v>18.399999999999999</v>
      </c>
      <c r="F58">
        <v>4</v>
      </c>
      <c r="G58">
        <v>2</v>
      </c>
      <c r="H58">
        <v>1</v>
      </c>
      <c r="I58">
        <v>0.7</v>
      </c>
      <c r="J58" t="s">
        <v>12</v>
      </c>
      <c r="K58" s="2">
        <f t="shared" si="2"/>
        <v>16.765898919707524</v>
      </c>
      <c r="L58" s="2" t="str">
        <f t="shared" si="3"/>
        <v>Underweight</v>
      </c>
    </row>
    <row r="59" spans="1:12" x14ac:dyDescent="0.35">
      <c r="A59" t="s">
        <v>74</v>
      </c>
      <c r="B59">
        <v>42</v>
      </c>
      <c r="C59" t="s">
        <v>19</v>
      </c>
      <c r="D59">
        <v>105.35</v>
      </c>
      <c r="E59">
        <v>19.88</v>
      </c>
      <c r="F59">
        <v>1</v>
      </c>
      <c r="G59">
        <v>2</v>
      </c>
      <c r="H59">
        <v>2</v>
      </c>
      <c r="I59">
        <v>2.8</v>
      </c>
      <c r="J59" t="s">
        <v>20</v>
      </c>
      <c r="K59" s="2">
        <f t="shared" si="2"/>
        <v>17.912132789452027</v>
      </c>
      <c r="L59" s="2" t="str">
        <f t="shared" si="3"/>
        <v>Underweight</v>
      </c>
    </row>
    <row r="60" spans="1:12" x14ac:dyDescent="0.35">
      <c r="A60" t="s">
        <v>75</v>
      </c>
      <c r="B60">
        <v>59</v>
      </c>
      <c r="C60" t="s">
        <v>19</v>
      </c>
      <c r="D60">
        <v>110.75</v>
      </c>
      <c r="E60">
        <v>24.56</v>
      </c>
      <c r="F60">
        <v>4</v>
      </c>
      <c r="G60">
        <v>4</v>
      </c>
      <c r="H60">
        <v>1</v>
      </c>
      <c r="I60">
        <v>1.7</v>
      </c>
      <c r="J60" t="s">
        <v>12</v>
      </c>
      <c r="K60" s="2">
        <f t="shared" si="2"/>
        <v>20.023541521230683</v>
      </c>
      <c r="L60" s="3" t="str">
        <f t="shared" si="3"/>
        <v>Healthy Weight</v>
      </c>
    </row>
    <row r="61" spans="1:12" x14ac:dyDescent="0.35">
      <c r="A61" t="s">
        <v>76</v>
      </c>
      <c r="B61">
        <v>56</v>
      </c>
      <c r="C61" t="s">
        <v>19</v>
      </c>
      <c r="D61">
        <v>108</v>
      </c>
      <c r="E61">
        <v>22.24</v>
      </c>
      <c r="F61">
        <v>2</v>
      </c>
      <c r="G61">
        <v>4</v>
      </c>
      <c r="H61">
        <v>2</v>
      </c>
      <c r="I61">
        <v>1.1000000000000001</v>
      </c>
      <c r="J61" t="s">
        <v>14</v>
      </c>
      <c r="K61" s="2">
        <f t="shared" si="2"/>
        <v>19.067215363511657</v>
      </c>
      <c r="L61" s="3" t="str">
        <f t="shared" si="3"/>
        <v>Healthy Weight</v>
      </c>
    </row>
    <row r="62" spans="1:12" x14ac:dyDescent="0.35">
      <c r="A62" t="s">
        <v>77</v>
      </c>
      <c r="B62">
        <v>32</v>
      </c>
      <c r="C62" t="s">
        <v>11</v>
      </c>
      <c r="D62">
        <v>98.63</v>
      </c>
      <c r="E62">
        <v>17.96</v>
      </c>
      <c r="F62">
        <v>0</v>
      </c>
      <c r="G62">
        <v>0</v>
      </c>
      <c r="H62">
        <v>2</v>
      </c>
      <c r="I62">
        <v>2.6</v>
      </c>
      <c r="J62" t="s">
        <v>24</v>
      </c>
      <c r="K62" s="2">
        <f t="shared" si="2"/>
        <v>18.462404679483562</v>
      </c>
      <c r="L62" s="2" t="str">
        <f t="shared" si="3"/>
        <v>Underweight</v>
      </c>
    </row>
    <row r="63" spans="1:12" x14ac:dyDescent="0.35">
      <c r="A63" t="s">
        <v>78</v>
      </c>
      <c r="B63">
        <v>47</v>
      </c>
      <c r="C63" t="s">
        <v>11</v>
      </c>
      <c r="D63">
        <v>103.57</v>
      </c>
      <c r="E63">
        <v>22.13</v>
      </c>
      <c r="F63">
        <v>3</v>
      </c>
      <c r="G63">
        <v>2</v>
      </c>
      <c r="H63">
        <v>0</v>
      </c>
      <c r="I63">
        <v>0.6</v>
      </c>
      <c r="J63" t="s">
        <v>12</v>
      </c>
      <c r="K63" s="2">
        <f t="shared" si="2"/>
        <v>20.630676133633052</v>
      </c>
      <c r="L63" s="3" t="str">
        <f t="shared" si="3"/>
        <v>Healthy Weight</v>
      </c>
    </row>
    <row r="64" spans="1:12" x14ac:dyDescent="0.35">
      <c r="A64" t="s">
        <v>79</v>
      </c>
      <c r="B64">
        <v>28</v>
      </c>
      <c r="C64" t="s">
        <v>19</v>
      </c>
      <c r="D64">
        <v>92.72</v>
      </c>
      <c r="E64">
        <v>15.7</v>
      </c>
      <c r="F64">
        <v>4</v>
      </c>
      <c r="G64">
        <v>0</v>
      </c>
      <c r="H64">
        <v>1</v>
      </c>
      <c r="I64">
        <v>0.5</v>
      </c>
      <c r="J64" t="s">
        <v>24</v>
      </c>
      <c r="K64" s="2">
        <f t="shared" si="2"/>
        <v>18.26218788176115</v>
      </c>
      <c r="L64" s="2" t="str">
        <f t="shared" si="3"/>
        <v>Underweight</v>
      </c>
    </row>
    <row r="65" spans="1:12" x14ac:dyDescent="0.35">
      <c r="A65" t="s">
        <v>80</v>
      </c>
      <c r="B65">
        <v>56</v>
      </c>
      <c r="C65" t="s">
        <v>19</v>
      </c>
      <c r="D65">
        <v>113.3</v>
      </c>
      <c r="E65">
        <v>20.45</v>
      </c>
      <c r="F65">
        <v>2</v>
      </c>
      <c r="G65">
        <v>2</v>
      </c>
      <c r="H65">
        <v>2</v>
      </c>
      <c r="I65">
        <v>0.5</v>
      </c>
      <c r="J65" t="s">
        <v>27</v>
      </c>
      <c r="K65" s="2">
        <f t="shared" si="2"/>
        <v>15.930649869244029</v>
      </c>
      <c r="L65" s="2" t="str">
        <f t="shared" si="3"/>
        <v>Underweight</v>
      </c>
    </row>
    <row r="66" spans="1:12" x14ac:dyDescent="0.35">
      <c r="A66" t="s">
        <v>81</v>
      </c>
      <c r="B66">
        <v>38</v>
      </c>
      <c r="C66" t="s">
        <v>19</v>
      </c>
      <c r="D66">
        <v>104.84</v>
      </c>
      <c r="E66">
        <v>19.829999999999998</v>
      </c>
      <c r="F66">
        <v>4</v>
      </c>
      <c r="G66">
        <v>0</v>
      </c>
      <c r="H66">
        <v>0</v>
      </c>
      <c r="I66">
        <v>0.8</v>
      </c>
      <c r="J66" t="s">
        <v>24</v>
      </c>
      <c r="K66" s="2">
        <f t="shared" ref="K66:K101" si="4">E66 / ((D66 / 100) ^ 2)</f>
        <v>18.041335784504604</v>
      </c>
      <c r="L66" s="2" t="str">
        <f t="shared" ref="L66:L97" si="5">IF(K66&lt;18.5,"Underweight",IF(K66&lt;25,"Healthy Weight",IF(K66&lt;30,"Overweight","Obese")))</f>
        <v>Underweight</v>
      </c>
    </row>
    <row r="67" spans="1:12" x14ac:dyDescent="0.35">
      <c r="A67" t="s">
        <v>82</v>
      </c>
      <c r="B67">
        <v>50</v>
      </c>
      <c r="C67" t="s">
        <v>11</v>
      </c>
      <c r="D67">
        <v>104.56</v>
      </c>
      <c r="E67">
        <v>21.62</v>
      </c>
      <c r="F67">
        <v>4</v>
      </c>
      <c r="G67">
        <v>1</v>
      </c>
      <c r="H67">
        <v>1</v>
      </c>
      <c r="I67">
        <v>2</v>
      </c>
      <c r="J67" t="s">
        <v>12</v>
      </c>
      <c r="K67" s="2">
        <f t="shared" si="4"/>
        <v>19.775366471749727</v>
      </c>
      <c r="L67" s="3" t="str">
        <f t="shared" si="5"/>
        <v>Healthy Weight</v>
      </c>
    </row>
    <row r="68" spans="1:12" x14ac:dyDescent="0.35">
      <c r="A68" t="s">
        <v>83</v>
      </c>
      <c r="B68">
        <v>27</v>
      </c>
      <c r="C68" t="s">
        <v>19</v>
      </c>
      <c r="D68">
        <v>97.32</v>
      </c>
      <c r="E68">
        <v>16.28</v>
      </c>
      <c r="F68">
        <v>2</v>
      </c>
      <c r="G68">
        <v>4</v>
      </c>
      <c r="H68">
        <v>0</v>
      </c>
      <c r="I68">
        <v>0.8</v>
      </c>
      <c r="J68" t="s">
        <v>12</v>
      </c>
      <c r="K68" s="2">
        <f t="shared" si="4"/>
        <v>17.188983711262917</v>
      </c>
      <c r="L68" s="2" t="str">
        <f t="shared" si="5"/>
        <v>Underweight</v>
      </c>
    </row>
    <row r="69" spans="1:12" x14ac:dyDescent="0.35">
      <c r="A69" t="s">
        <v>84</v>
      </c>
      <c r="B69">
        <v>32</v>
      </c>
      <c r="C69" t="s">
        <v>11</v>
      </c>
      <c r="D69">
        <v>103.58</v>
      </c>
      <c r="E69">
        <v>15.12</v>
      </c>
      <c r="F69">
        <v>4</v>
      </c>
      <c r="G69">
        <v>0</v>
      </c>
      <c r="H69">
        <v>2</v>
      </c>
      <c r="I69">
        <v>1.8</v>
      </c>
      <c r="J69" t="s">
        <v>20</v>
      </c>
      <c r="K69" s="2">
        <f t="shared" si="4"/>
        <v>14.092887263873765</v>
      </c>
      <c r="L69" s="2" t="str">
        <f t="shared" si="5"/>
        <v>Underweight</v>
      </c>
    </row>
    <row r="70" spans="1:12" x14ac:dyDescent="0.35">
      <c r="A70" t="s">
        <v>85</v>
      </c>
      <c r="B70">
        <v>53</v>
      </c>
      <c r="C70" t="s">
        <v>19</v>
      </c>
      <c r="D70">
        <v>105.92</v>
      </c>
      <c r="E70">
        <v>22.98</v>
      </c>
      <c r="F70">
        <v>2</v>
      </c>
      <c r="G70">
        <v>0</v>
      </c>
      <c r="H70">
        <v>0</v>
      </c>
      <c r="I70">
        <v>0.8</v>
      </c>
      <c r="J70" t="s">
        <v>27</v>
      </c>
      <c r="K70" s="2">
        <f t="shared" si="4"/>
        <v>20.483024296966988</v>
      </c>
      <c r="L70" s="3" t="str">
        <f t="shared" si="5"/>
        <v>Healthy Weight</v>
      </c>
    </row>
    <row r="71" spans="1:12" x14ac:dyDescent="0.35">
      <c r="A71" t="s">
        <v>86</v>
      </c>
      <c r="B71">
        <v>33</v>
      </c>
      <c r="C71" t="s">
        <v>19</v>
      </c>
      <c r="D71">
        <v>104.76</v>
      </c>
      <c r="E71">
        <v>13.89</v>
      </c>
      <c r="F71">
        <v>3</v>
      </c>
      <c r="G71">
        <v>4</v>
      </c>
      <c r="H71">
        <v>0</v>
      </c>
      <c r="I71">
        <v>0.5</v>
      </c>
      <c r="J71" t="s">
        <v>20</v>
      </c>
      <c r="K71" s="2">
        <f t="shared" si="4"/>
        <v>12.656431304061822</v>
      </c>
      <c r="L71" s="2" t="str">
        <f t="shared" si="5"/>
        <v>Underweight</v>
      </c>
    </row>
    <row r="72" spans="1:12" x14ac:dyDescent="0.35">
      <c r="A72" t="s">
        <v>87</v>
      </c>
      <c r="B72">
        <v>49</v>
      </c>
      <c r="C72" t="s">
        <v>19</v>
      </c>
      <c r="D72">
        <v>108.22</v>
      </c>
      <c r="E72">
        <v>19.55</v>
      </c>
      <c r="F72">
        <v>1</v>
      </c>
      <c r="G72">
        <v>1</v>
      </c>
      <c r="H72">
        <v>2</v>
      </c>
      <c r="I72">
        <v>1.6</v>
      </c>
      <c r="J72" t="s">
        <v>20</v>
      </c>
      <c r="K72" s="2">
        <f t="shared" si="4"/>
        <v>16.692896572247317</v>
      </c>
      <c r="L72" s="2" t="str">
        <f t="shared" si="5"/>
        <v>Underweight</v>
      </c>
    </row>
    <row r="73" spans="1:12" x14ac:dyDescent="0.35">
      <c r="A73" t="s">
        <v>88</v>
      </c>
      <c r="B73">
        <v>32</v>
      </c>
      <c r="C73" t="s">
        <v>11</v>
      </c>
      <c r="D73">
        <v>97.69</v>
      </c>
      <c r="E73">
        <v>18.04</v>
      </c>
      <c r="F73">
        <v>3</v>
      </c>
      <c r="G73">
        <v>2</v>
      </c>
      <c r="H73">
        <v>2</v>
      </c>
      <c r="I73">
        <v>2.2000000000000002</v>
      </c>
      <c r="J73" t="s">
        <v>12</v>
      </c>
      <c r="K73" s="2">
        <f t="shared" si="4"/>
        <v>18.903242860743426</v>
      </c>
      <c r="L73" s="3" t="str">
        <f t="shared" si="5"/>
        <v>Healthy Weight</v>
      </c>
    </row>
    <row r="74" spans="1:12" x14ac:dyDescent="0.35">
      <c r="A74" t="s">
        <v>89</v>
      </c>
      <c r="B74">
        <v>52</v>
      </c>
      <c r="C74" t="s">
        <v>11</v>
      </c>
      <c r="D74">
        <v>104.99</v>
      </c>
      <c r="E74">
        <v>22.77</v>
      </c>
      <c r="F74">
        <v>3</v>
      </c>
      <c r="G74">
        <v>2</v>
      </c>
      <c r="H74">
        <v>1</v>
      </c>
      <c r="I74">
        <v>1.1000000000000001</v>
      </c>
      <c r="J74" t="s">
        <v>14</v>
      </c>
      <c r="K74" s="2">
        <f t="shared" si="4"/>
        <v>20.656995702972939</v>
      </c>
      <c r="L74" s="3" t="str">
        <f t="shared" si="5"/>
        <v>Healthy Weight</v>
      </c>
    </row>
    <row r="75" spans="1:12" x14ac:dyDescent="0.35">
      <c r="A75" t="s">
        <v>90</v>
      </c>
      <c r="B75">
        <v>25</v>
      </c>
      <c r="C75" t="s">
        <v>19</v>
      </c>
      <c r="D75">
        <v>88.93</v>
      </c>
      <c r="E75">
        <v>15.5</v>
      </c>
      <c r="F75">
        <v>3</v>
      </c>
      <c r="G75">
        <v>0</v>
      </c>
      <c r="H75">
        <v>3</v>
      </c>
      <c r="I75">
        <v>3.8</v>
      </c>
      <c r="J75" t="s">
        <v>14</v>
      </c>
      <c r="K75" s="2">
        <f t="shared" si="4"/>
        <v>19.59905418252098</v>
      </c>
      <c r="L75" s="3" t="str">
        <f t="shared" si="5"/>
        <v>Healthy Weight</v>
      </c>
    </row>
    <row r="76" spans="1:12" x14ac:dyDescent="0.35">
      <c r="A76" t="s">
        <v>91</v>
      </c>
      <c r="B76">
        <v>41</v>
      </c>
      <c r="C76" t="s">
        <v>11</v>
      </c>
      <c r="D76">
        <v>105.5</v>
      </c>
      <c r="E76">
        <v>20.18</v>
      </c>
      <c r="F76">
        <v>1</v>
      </c>
      <c r="G76">
        <v>4</v>
      </c>
      <c r="H76">
        <v>3</v>
      </c>
      <c r="I76">
        <v>1.9</v>
      </c>
      <c r="J76" t="s">
        <v>24</v>
      </c>
      <c r="K76" s="2">
        <f t="shared" si="4"/>
        <v>18.130769749107163</v>
      </c>
      <c r="L76" s="2" t="str">
        <f t="shared" si="5"/>
        <v>Underweight</v>
      </c>
    </row>
    <row r="77" spans="1:12" x14ac:dyDescent="0.35">
      <c r="A77" t="s">
        <v>92</v>
      </c>
      <c r="B77">
        <v>38</v>
      </c>
      <c r="C77" t="s">
        <v>19</v>
      </c>
      <c r="D77">
        <v>101.47</v>
      </c>
      <c r="E77">
        <v>15.96</v>
      </c>
      <c r="F77">
        <v>1</v>
      </c>
      <c r="G77">
        <v>1</v>
      </c>
      <c r="H77">
        <v>0</v>
      </c>
      <c r="I77">
        <v>0.8</v>
      </c>
      <c r="J77" t="s">
        <v>12</v>
      </c>
      <c r="K77" s="2">
        <f t="shared" si="4"/>
        <v>15.500923261601326</v>
      </c>
      <c r="L77" s="2" t="str">
        <f t="shared" si="5"/>
        <v>Underweight</v>
      </c>
    </row>
    <row r="78" spans="1:12" x14ac:dyDescent="0.35">
      <c r="A78" t="s">
        <v>93</v>
      </c>
      <c r="B78">
        <v>46</v>
      </c>
      <c r="C78" t="s">
        <v>19</v>
      </c>
      <c r="D78">
        <v>103.84</v>
      </c>
      <c r="E78">
        <v>17.13</v>
      </c>
      <c r="F78">
        <v>0</v>
      </c>
      <c r="G78">
        <v>4</v>
      </c>
      <c r="H78">
        <v>1</v>
      </c>
      <c r="I78">
        <v>0.7</v>
      </c>
      <c r="J78" t="s">
        <v>20</v>
      </c>
      <c r="K78" s="2">
        <f t="shared" si="4"/>
        <v>15.886491841187462</v>
      </c>
      <c r="L78" s="2" t="str">
        <f t="shared" si="5"/>
        <v>Underweight</v>
      </c>
    </row>
    <row r="79" spans="1:12" x14ac:dyDescent="0.35">
      <c r="A79" t="s">
        <v>94</v>
      </c>
      <c r="B79">
        <v>45</v>
      </c>
      <c r="C79" t="s">
        <v>19</v>
      </c>
      <c r="D79">
        <v>103.74</v>
      </c>
      <c r="E79">
        <v>18.21</v>
      </c>
      <c r="F79">
        <v>1</v>
      </c>
      <c r="G79">
        <v>3</v>
      </c>
      <c r="H79">
        <v>0</v>
      </c>
      <c r="I79">
        <v>0.5</v>
      </c>
      <c r="J79" t="s">
        <v>20</v>
      </c>
      <c r="K79" s="2">
        <f t="shared" si="4"/>
        <v>16.920666215969256</v>
      </c>
      <c r="L79" s="2" t="str">
        <f t="shared" si="5"/>
        <v>Underweight</v>
      </c>
    </row>
    <row r="80" spans="1:12" x14ac:dyDescent="0.35">
      <c r="A80" t="s">
        <v>95</v>
      </c>
      <c r="B80">
        <v>48</v>
      </c>
      <c r="C80" t="s">
        <v>19</v>
      </c>
      <c r="D80">
        <v>101.32</v>
      </c>
      <c r="E80">
        <v>21.93</v>
      </c>
      <c r="F80">
        <v>4</v>
      </c>
      <c r="G80">
        <v>2</v>
      </c>
      <c r="H80">
        <v>2</v>
      </c>
      <c r="I80">
        <v>2.8</v>
      </c>
      <c r="J80" t="s">
        <v>14</v>
      </c>
      <c r="K80" s="2">
        <f t="shared" si="4"/>
        <v>21.36231277340449</v>
      </c>
      <c r="L80" s="3" t="str">
        <f t="shared" si="5"/>
        <v>Healthy Weight</v>
      </c>
    </row>
    <row r="81" spans="1:12" x14ac:dyDescent="0.35">
      <c r="A81" t="s">
        <v>96</v>
      </c>
      <c r="B81">
        <v>54</v>
      </c>
      <c r="C81" t="s">
        <v>11</v>
      </c>
      <c r="D81">
        <v>109.83</v>
      </c>
      <c r="E81">
        <v>21.35</v>
      </c>
      <c r="F81">
        <v>3</v>
      </c>
      <c r="G81">
        <v>2</v>
      </c>
      <c r="H81">
        <v>1</v>
      </c>
      <c r="I81">
        <v>0.7</v>
      </c>
      <c r="J81" t="s">
        <v>24</v>
      </c>
      <c r="K81" s="2">
        <f t="shared" si="4"/>
        <v>17.699292730459444</v>
      </c>
      <c r="L81" s="2" t="str">
        <f t="shared" si="5"/>
        <v>Underweight</v>
      </c>
    </row>
    <row r="82" spans="1:12" x14ac:dyDescent="0.35">
      <c r="A82" t="s">
        <v>97</v>
      </c>
      <c r="B82">
        <v>49</v>
      </c>
      <c r="C82" t="s">
        <v>19</v>
      </c>
      <c r="D82">
        <v>112.98</v>
      </c>
      <c r="E82">
        <v>18.22</v>
      </c>
      <c r="F82">
        <v>3</v>
      </c>
      <c r="G82">
        <v>1</v>
      </c>
      <c r="H82">
        <v>1</v>
      </c>
      <c r="I82">
        <v>1.7</v>
      </c>
      <c r="J82" t="s">
        <v>12</v>
      </c>
      <c r="K82" s="2">
        <f t="shared" si="4"/>
        <v>14.273984861929826</v>
      </c>
      <c r="L82" s="2" t="str">
        <f t="shared" si="5"/>
        <v>Underweight</v>
      </c>
    </row>
    <row r="83" spans="1:12" x14ac:dyDescent="0.35">
      <c r="A83" t="s">
        <v>98</v>
      </c>
      <c r="B83">
        <v>45</v>
      </c>
      <c r="C83" t="s">
        <v>11</v>
      </c>
      <c r="D83">
        <v>104.87</v>
      </c>
      <c r="E83">
        <v>19.66</v>
      </c>
      <c r="F83">
        <v>1</v>
      </c>
      <c r="G83">
        <v>4</v>
      </c>
      <c r="H83">
        <v>2</v>
      </c>
      <c r="I83">
        <v>1.1000000000000001</v>
      </c>
      <c r="J83" t="s">
        <v>27</v>
      </c>
      <c r="K83" s="2">
        <f t="shared" si="4"/>
        <v>17.876437608609475</v>
      </c>
      <c r="L83" s="2" t="str">
        <f t="shared" si="5"/>
        <v>Underweight</v>
      </c>
    </row>
    <row r="84" spans="1:12" x14ac:dyDescent="0.35">
      <c r="A84" t="s">
        <v>99</v>
      </c>
      <c r="B84">
        <v>30</v>
      </c>
      <c r="C84" t="s">
        <v>19</v>
      </c>
      <c r="D84">
        <v>100.81</v>
      </c>
      <c r="E84">
        <v>14.39</v>
      </c>
      <c r="F84">
        <v>2</v>
      </c>
      <c r="G84">
        <v>4</v>
      </c>
      <c r="H84">
        <v>2</v>
      </c>
      <c r="I84">
        <v>2.6</v>
      </c>
      <c r="J84" t="s">
        <v>12</v>
      </c>
      <c r="K84" s="2">
        <f t="shared" si="4"/>
        <v>14.159684100694896</v>
      </c>
      <c r="L84" s="2" t="str">
        <f t="shared" si="5"/>
        <v>Underweight</v>
      </c>
    </row>
    <row r="85" spans="1:12" x14ac:dyDescent="0.35">
      <c r="A85" t="s">
        <v>100</v>
      </c>
      <c r="B85">
        <v>29</v>
      </c>
      <c r="C85" t="s">
        <v>11</v>
      </c>
      <c r="D85">
        <v>101.16</v>
      </c>
      <c r="E85">
        <v>14.14</v>
      </c>
      <c r="F85">
        <v>2</v>
      </c>
      <c r="G85">
        <v>2</v>
      </c>
      <c r="H85">
        <v>3</v>
      </c>
      <c r="I85">
        <v>1.3</v>
      </c>
      <c r="J85" t="s">
        <v>12</v>
      </c>
      <c r="K85" s="2">
        <f t="shared" si="4"/>
        <v>13.817573013462967</v>
      </c>
      <c r="L85" s="2" t="str">
        <f t="shared" si="5"/>
        <v>Underweight</v>
      </c>
    </row>
    <row r="86" spans="1:12" x14ac:dyDescent="0.35">
      <c r="A86" t="s">
        <v>101</v>
      </c>
      <c r="B86">
        <v>57</v>
      </c>
      <c r="C86" t="s">
        <v>11</v>
      </c>
      <c r="D86">
        <v>115.19</v>
      </c>
      <c r="E86">
        <v>20.76</v>
      </c>
      <c r="F86">
        <v>1</v>
      </c>
      <c r="G86">
        <v>4</v>
      </c>
      <c r="H86">
        <v>0</v>
      </c>
      <c r="I86">
        <v>1</v>
      </c>
      <c r="J86" t="s">
        <v>12</v>
      </c>
      <c r="K86" s="2">
        <f t="shared" si="4"/>
        <v>15.645800657682841</v>
      </c>
      <c r="L86" s="2" t="str">
        <f t="shared" si="5"/>
        <v>Underweight</v>
      </c>
    </row>
    <row r="87" spans="1:12" x14ac:dyDescent="0.35">
      <c r="A87" t="s">
        <v>102</v>
      </c>
      <c r="B87">
        <v>56</v>
      </c>
      <c r="C87" t="s">
        <v>19</v>
      </c>
      <c r="D87">
        <v>110.72</v>
      </c>
      <c r="E87">
        <v>20.149999999999999</v>
      </c>
      <c r="F87">
        <v>0</v>
      </c>
      <c r="G87">
        <v>1</v>
      </c>
      <c r="H87">
        <v>1</v>
      </c>
      <c r="I87">
        <v>2</v>
      </c>
      <c r="J87" t="s">
        <v>27</v>
      </c>
      <c r="K87" s="2">
        <f t="shared" si="4"/>
        <v>16.43701290971967</v>
      </c>
      <c r="L87" s="2" t="str">
        <f t="shared" si="5"/>
        <v>Underweight</v>
      </c>
    </row>
    <row r="88" spans="1:12" x14ac:dyDescent="0.35">
      <c r="A88" t="s">
        <v>103</v>
      </c>
      <c r="B88">
        <v>56</v>
      </c>
      <c r="C88" t="s">
        <v>11</v>
      </c>
      <c r="D88">
        <v>106.73</v>
      </c>
      <c r="E88">
        <v>24.09</v>
      </c>
      <c r="F88">
        <v>0</v>
      </c>
      <c r="G88">
        <v>1</v>
      </c>
      <c r="H88">
        <v>3</v>
      </c>
      <c r="I88">
        <v>1.7</v>
      </c>
      <c r="J88" t="s">
        <v>27</v>
      </c>
      <c r="K88" s="2">
        <f t="shared" si="4"/>
        <v>21.147731176326783</v>
      </c>
      <c r="L88" s="3" t="str">
        <f t="shared" si="5"/>
        <v>Healthy Weight</v>
      </c>
    </row>
    <row r="89" spans="1:12" x14ac:dyDescent="0.35">
      <c r="A89" t="s">
        <v>104</v>
      </c>
      <c r="B89">
        <v>25</v>
      </c>
      <c r="C89" t="s">
        <v>11</v>
      </c>
      <c r="D89">
        <v>99.72</v>
      </c>
      <c r="E89">
        <v>14.9</v>
      </c>
      <c r="F89">
        <v>4</v>
      </c>
      <c r="G89">
        <v>2</v>
      </c>
      <c r="H89">
        <v>3</v>
      </c>
      <c r="I89">
        <v>2.2000000000000002</v>
      </c>
      <c r="J89" t="s">
        <v>14</v>
      </c>
      <c r="K89" s="2">
        <f t="shared" si="4"/>
        <v>14.983791760933824</v>
      </c>
      <c r="L89" s="2" t="str">
        <f t="shared" si="5"/>
        <v>Underweight</v>
      </c>
    </row>
    <row r="90" spans="1:12" x14ac:dyDescent="0.35">
      <c r="A90" t="s">
        <v>105</v>
      </c>
      <c r="B90">
        <v>30</v>
      </c>
      <c r="C90" t="s">
        <v>11</v>
      </c>
      <c r="D90">
        <v>96.45</v>
      </c>
      <c r="E90">
        <v>14.77</v>
      </c>
      <c r="F90">
        <v>4</v>
      </c>
      <c r="G90">
        <v>2</v>
      </c>
      <c r="H90">
        <v>0</v>
      </c>
      <c r="I90">
        <v>0.6</v>
      </c>
      <c r="J90" t="s">
        <v>24</v>
      </c>
      <c r="K90" s="2">
        <f t="shared" si="4"/>
        <v>15.877277353299789</v>
      </c>
      <c r="L90" s="2" t="str">
        <f t="shared" si="5"/>
        <v>Underweight</v>
      </c>
    </row>
    <row r="91" spans="1:12" x14ac:dyDescent="0.35">
      <c r="A91" t="s">
        <v>106</v>
      </c>
      <c r="B91">
        <v>53</v>
      </c>
      <c r="C91" t="s">
        <v>19</v>
      </c>
      <c r="D91">
        <v>106.44</v>
      </c>
      <c r="E91">
        <v>20.73</v>
      </c>
      <c r="F91">
        <v>4</v>
      </c>
      <c r="G91">
        <v>3</v>
      </c>
      <c r="H91">
        <v>2</v>
      </c>
      <c r="I91">
        <v>2</v>
      </c>
      <c r="J91" t="s">
        <v>12</v>
      </c>
      <c r="K91" s="2">
        <f t="shared" si="4"/>
        <v>18.29740792193558</v>
      </c>
      <c r="L91" s="2" t="str">
        <f t="shared" si="5"/>
        <v>Underweight</v>
      </c>
    </row>
    <row r="92" spans="1:12" x14ac:dyDescent="0.35">
      <c r="A92" t="s">
        <v>107</v>
      </c>
      <c r="B92">
        <v>29</v>
      </c>
      <c r="C92" t="s">
        <v>11</v>
      </c>
      <c r="D92">
        <v>97.77</v>
      </c>
      <c r="E92">
        <v>15.72</v>
      </c>
      <c r="F92">
        <v>2</v>
      </c>
      <c r="G92">
        <v>0</v>
      </c>
      <c r="H92">
        <v>0</v>
      </c>
      <c r="I92">
        <v>0.9</v>
      </c>
      <c r="J92" t="s">
        <v>12</v>
      </c>
      <c r="K92" s="2">
        <f t="shared" si="4"/>
        <v>16.445281479979926</v>
      </c>
      <c r="L92" s="2" t="str">
        <f t="shared" si="5"/>
        <v>Underweight</v>
      </c>
    </row>
    <row r="93" spans="1:12" x14ac:dyDescent="0.35">
      <c r="A93" t="s">
        <v>108</v>
      </c>
      <c r="B93">
        <v>58</v>
      </c>
      <c r="C93" t="s">
        <v>19</v>
      </c>
      <c r="D93">
        <v>113.49</v>
      </c>
      <c r="E93">
        <v>25.26</v>
      </c>
      <c r="F93">
        <v>0</v>
      </c>
      <c r="G93">
        <v>4</v>
      </c>
      <c r="H93">
        <v>3</v>
      </c>
      <c r="I93">
        <v>3</v>
      </c>
      <c r="J93" t="s">
        <v>27</v>
      </c>
      <c r="K93" s="2">
        <f t="shared" si="4"/>
        <v>19.611831543124822</v>
      </c>
      <c r="L93" s="3" t="str">
        <f t="shared" si="5"/>
        <v>Healthy Weight</v>
      </c>
    </row>
    <row r="94" spans="1:12" x14ac:dyDescent="0.35">
      <c r="A94" t="s">
        <v>109</v>
      </c>
      <c r="B94">
        <v>26</v>
      </c>
      <c r="C94" t="s">
        <v>19</v>
      </c>
      <c r="D94">
        <v>92.08</v>
      </c>
      <c r="E94">
        <v>15.29</v>
      </c>
      <c r="F94">
        <v>4</v>
      </c>
      <c r="G94">
        <v>1</v>
      </c>
      <c r="H94">
        <v>2</v>
      </c>
      <c r="I94">
        <v>2.6</v>
      </c>
      <c r="J94" t="s">
        <v>20</v>
      </c>
      <c r="K94" s="2">
        <f t="shared" si="4"/>
        <v>18.033368785198682</v>
      </c>
      <c r="L94" s="2" t="str">
        <f t="shared" si="5"/>
        <v>Underweight</v>
      </c>
    </row>
    <row r="95" spans="1:12" x14ac:dyDescent="0.35">
      <c r="A95" t="s">
        <v>110</v>
      </c>
      <c r="B95">
        <v>25</v>
      </c>
      <c r="C95" t="s">
        <v>11</v>
      </c>
      <c r="D95">
        <v>96.42</v>
      </c>
      <c r="E95">
        <v>15.34</v>
      </c>
      <c r="F95">
        <v>4</v>
      </c>
      <c r="G95">
        <v>3</v>
      </c>
      <c r="H95">
        <v>2</v>
      </c>
      <c r="I95">
        <v>0.9</v>
      </c>
      <c r="J95" t="s">
        <v>20</v>
      </c>
      <c r="K95" s="2">
        <f t="shared" si="4"/>
        <v>16.500272071630885</v>
      </c>
      <c r="L95" s="2" t="str">
        <f t="shared" si="5"/>
        <v>Underweight</v>
      </c>
    </row>
    <row r="96" spans="1:12" x14ac:dyDescent="0.35">
      <c r="A96" t="s">
        <v>111</v>
      </c>
      <c r="B96">
        <v>59</v>
      </c>
      <c r="C96" t="s">
        <v>11</v>
      </c>
      <c r="D96">
        <v>108.1</v>
      </c>
      <c r="E96">
        <v>19.25</v>
      </c>
      <c r="F96">
        <v>1</v>
      </c>
      <c r="G96">
        <v>0</v>
      </c>
      <c r="H96">
        <v>1</v>
      </c>
      <c r="I96">
        <v>1</v>
      </c>
      <c r="J96" t="s">
        <v>12</v>
      </c>
      <c r="K96" s="2">
        <f t="shared" si="4"/>
        <v>16.47325214515973</v>
      </c>
      <c r="L96" s="2" t="str">
        <f t="shared" si="5"/>
        <v>Underweight</v>
      </c>
    </row>
    <row r="97" spans="1:12" x14ac:dyDescent="0.35">
      <c r="A97" t="s">
        <v>112</v>
      </c>
      <c r="B97">
        <v>50</v>
      </c>
      <c r="C97" t="s">
        <v>11</v>
      </c>
      <c r="D97">
        <v>109.15</v>
      </c>
      <c r="E97">
        <v>22.09</v>
      </c>
      <c r="F97">
        <v>1</v>
      </c>
      <c r="G97">
        <v>4</v>
      </c>
      <c r="H97">
        <v>0</v>
      </c>
      <c r="I97">
        <v>0.6</v>
      </c>
      <c r="J97" t="s">
        <v>14</v>
      </c>
      <c r="K97" s="2">
        <f t="shared" si="4"/>
        <v>18.541643890060385</v>
      </c>
      <c r="L97" s="3" t="str">
        <f t="shared" si="5"/>
        <v>Healthy Weight</v>
      </c>
    </row>
    <row r="98" spans="1:12" x14ac:dyDescent="0.35">
      <c r="A98" t="s">
        <v>113</v>
      </c>
      <c r="B98">
        <v>48</v>
      </c>
      <c r="C98" t="s">
        <v>19</v>
      </c>
      <c r="D98">
        <v>107.71</v>
      </c>
      <c r="E98">
        <v>19.079999999999998</v>
      </c>
      <c r="F98">
        <v>0</v>
      </c>
      <c r="G98">
        <v>2</v>
      </c>
      <c r="H98">
        <v>2</v>
      </c>
      <c r="I98">
        <v>1.8</v>
      </c>
      <c r="J98" t="s">
        <v>20</v>
      </c>
      <c r="K98" s="2">
        <f t="shared" si="4"/>
        <v>16.446228448404973</v>
      </c>
      <c r="L98" s="2" t="str">
        <f t="shared" ref="L98:L129" si="6">IF(K98&lt;18.5,"Underweight",IF(K98&lt;25,"Healthy Weight",IF(K98&lt;30,"Overweight","Obese")))</f>
        <v>Underweight</v>
      </c>
    </row>
    <row r="99" spans="1:12" x14ac:dyDescent="0.35">
      <c r="A99" t="s">
        <v>114</v>
      </c>
      <c r="B99">
        <v>57</v>
      </c>
      <c r="C99" t="s">
        <v>19</v>
      </c>
      <c r="D99">
        <v>112.41</v>
      </c>
      <c r="E99">
        <v>21.55</v>
      </c>
      <c r="F99">
        <v>2</v>
      </c>
      <c r="G99">
        <v>4</v>
      </c>
      <c r="H99">
        <v>0</v>
      </c>
      <c r="I99">
        <v>0.9</v>
      </c>
      <c r="J99" t="s">
        <v>12</v>
      </c>
      <c r="K99" s="2">
        <f t="shared" si="4"/>
        <v>17.054436677671966</v>
      </c>
      <c r="L99" s="2" t="str">
        <f t="shared" si="6"/>
        <v>Underweight</v>
      </c>
    </row>
    <row r="100" spans="1:12" x14ac:dyDescent="0.35">
      <c r="A100" t="s">
        <v>115</v>
      </c>
      <c r="B100">
        <v>45</v>
      </c>
      <c r="C100" t="s">
        <v>19</v>
      </c>
      <c r="D100">
        <v>110.12</v>
      </c>
      <c r="E100">
        <v>18.510000000000002</v>
      </c>
      <c r="F100">
        <v>0</v>
      </c>
      <c r="G100">
        <v>2</v>
      </c>
      <c r="H100">
        <v>0</v>
      </c>
      <c r="I100">
        <v>0.9</v>
      </c>
      <c r="J100" t="s">
        <v>24</v>
      </c>
      <c r="K100" s="2">
        <f t="shared" si="4"/>
        <v>15.264198789050129</v>
      </c>
      <c r="L100" s="2" t="str">
        <f t="shared" si="6"/>
        <v>Underweight</v>
      </c>
    </row>
    <row r="101" spans="1:12" x14ac:dyDescent="0.35">
      <c r="A101" t="s">
        <v>116</v>
      </c>
      <c r="B101">
        <v>49</v>
      </c>
      <c r="C101" t="s">
        <v>19</v>
      </c>
      <c r="D101">
        <v>106.6</v>
      </c>
      <c r="E101">
        <v>21.21</v>
      </c>
      <c r="F101">
        <v>0</v>
      </c>
      <c r="G101">
        <v>0</v>
      </c>
      <c r="H101">
        <v>2</v>
      </c>
      <c r="I101">
        <v>2.5</v>
      </c>
      <c r="J101" t="s">
        <v>24</v>
      </c>
      <c r="K101" s="2">
        <f t="shared" si="4"/>
        <v>18.664925428298883</v>
      </c>
      <c r="L101" s="3" t="str">
        <f t="shared" si="6"/>
        <v>Healthy Weight</v>
      </c>
    </row>
  </sheetData>
  <conditionalFormatting sqref="K2:L101">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89024-DD46-423D-AC6C-0DF08B780AF1}">
  <dimension ref="A1"/>
  <sheetViews>
    <sheetView workbookViewId="0">
      <selection activeCell="E17" sqref="E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1E75-8B57-4343-A596-CEE9EE66F5C2}">
  <dimension ref="C3"/>
  <sheetViews>
    <sheetView workbookViewId="0">
      <selection activeCell="C3" sqref="C3"/>
    </sheetView>
  </sheetViews>
  <sheetFormatPr defaultRowHeight="14.5" x14ac:dyDescent="0.35"/>
  <sheetData>
    <row r="3" spans="3:3" x14ac:dyDescent="0.35">
      <c r="C3" t="s">
        <v>12</v>
      </c>
    </row>
  </sheetData>
  <dataValidations count="4">
    <dataValidation type="list" allowBlank="1" showInputMessage="1" showErrorMessage="1" sqref="B2" xr:uid="{3F92174B-8772-49BD-9338-C6DFD37F2529}">
      <formula1>"Region"</formula1>
    </dataValidation>
    <dataValidation type="list" allowBlank="1" showInputMessage="1" showErrorMessage="1" sqref="B4" xr:uid="{A7B9BC06-EC91-4458-87EA-018882DE215E}">
      <formula1>"Central "</formula1>
    </dataValidation>
    <dataValidation type="list" allowBlank="1" showInputMessage="1" showErrorMessage="1" sqref="D5" xr:uid="{9610B43C-B8A1-40AA-A4A1-FD52AF215853}">
      <formula1>$B$11:$B$15</formula1>
    </dataValidation>
    <dataValidation type="list" allowBlank="1" showInputMessage="1" showErrorMessage="1" sqref="C3" xr:uid="{17031008-C30A-4FD9-B707-ACF161E462D4}">
      <formula1>"Central,East,West,North,South"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96AC4C4-AD3F-43A2-AE64-7C4559277104}">
          <x14:formula1>
            <xm:f>'BMI vs Nutrition'!$I$3</xm:f>
          </x14:formula1>
          <xm:sqref>B3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1143-7B1A-4025-B844-ED9CCA174874}">
  <dimension ref="B3:D17"/>
  <sheetViews>
    <sheetView tabSelected="1" topLeftCell="B4" workbookViewId="0">
      <selection activeCell="F21" sqref="F21"/>
    </sheetView>
  </sheetViews>
  <sheetFormatPr defaultRowHeight="14.5" x14ac:dyDescent="0.35"/>
  <sheetData>
    <row r="3" spans="2:4" ht="18.5" x14ac:dyDescent="0.45">
      <c r="C3" s="22" t="s">
        <v>131</v>
      </c>
      <c r="D3" s="22"/>
    </row>
    <row r="5" spans="2:4" x14ac:dyDescent="0.35">
      <c r="B5">
        <v>1</v>
      </c>
      <c r="C5" t="s">
        <v>134</v>
      </c>
    </row>
    <row r="6" spans="2:4" x14ac:dyDescent="0.35">
      <c r="B6">
        <v>2</v>
      </c>
      <c r="C6" t="s">
        <v>135</v>
      </c>
    </row>
    <row r="7" spans="2:4" x14ac:dyDescent="0.35">
      <c r="B7">
        <v>3</v>
      </c>
      <c r="C7" t="s">
        <v>136</v>
      </c>
    </row>
    <row r="8" spans="2:4" x14ac:dyDescent="0.35">
      <c r="B8">
        <v>4</v>
      </c>
      <c r="C8" t="s">
        <v>137</v>
      </c>
    </row>
    <row r="9" spans="2:4" x14ac:dyDescent="0.35">
      <c r="B9">
        <v>5</v>
      </c>
      <c r="C9" t="s">
        <v>138</v>
      </c>
    </row>
    <row r="10" spans="2:4" x14ac:dyDescent="0.35">
      <c r="B10">
        <v>6</v>
      </c>
      <c r="C10" t="s">
        <v>139</v>
      </c>
    </row>
    <row r="12" spans="2:4" ht="21" x14ac:dyDescent="0.5">
      <c r="C12" s="23" t="s">
        <v>132</v>
      </c>
      <c r="D12" s="23"/>
    </row>
    <row r="14" spans="2:4" x14ac:dyDescent="0.35">
      <c r="B14">
        <v>1</v>
      </c>
      <c r="C14" t="s">
        <v>140</v>
      </c>
    </row>
    <row r="15" spans="2:4" x14ac:dyDescent="0.35">
      <c r="B15">
        <v>2</v>
      </c>
      <c r="C15" t="s">
        <v>141</v>
      </c>
    </row>
    <row r="17" spans="3:3" x14ac:dyDescent="0.35">
      <c r="C17"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Health by Age</vt:lpstr>
      <vt:lpstr>BMI vs Nutrition</vt:lpstr>
      <vt:lpstr>Sugar &amp; Screen &amp;Region Analysis</vt:lpstr>
      <vt:lpstr>Child_Health_Data</vt:lpstr>
      <vt:lpstr>Dashboard</vt:lpstr>
      <vt:lpstr>Validation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Lalitha NAGESH</cp:lastModifiedBy>
  <dcterms:created xsi:type="dcterms:W3CDTF">2026-03-26T03:24:34Z</dcterms:created>
  <dcterms:modified xsi:type="dcterms:W3CDTF">2026-03-26T05:52:09Z</dcterms:modified>
</cp:coreProperties>
</file>