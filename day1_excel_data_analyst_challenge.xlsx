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470" activeTab="2"/>
  </bookViews>
  <sheets>
    <sheet name="Challenge_Instructions" sheetId="1" r:id="rId1"/>
    <sheet name="Sales_Data" sheetId="2" r:id="rId2"/>
    <sheet name="Pivot Table Showing" sheetId="5" r:id="rId3"/>
  </sheets>
  <definedNames>
    <definedName name="Slicer_Region">#N/A</definedName>
    <definedName name="Slicer_Product">#N/A</definedName>
    <definedName name="Slicer_Category">#N/A</definedName>
  </definedNames>
  <calcPr calcId="191029"/>
  <pivotCaches>
    <pivotCache cacheId="0" r:id="rId4"/>
  </pivotCaches>
  <extLst>
    <ext xmlns:x14="http://schemas.microsoft.com/office/spreadsheetml/2009/9/main" uri="{BBE1A952-AA13-448e-AADC-164F8A28A991}">
      <x14:slicerCaches>
        <x14:slicerCache r:id="rId7"/>
        <x14:slicerCache r:id="rId6"/>
        <x14:slicerCache r:id="rId5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<sst xmlns="http://schemas.openxmlformats.org/spreadsheetml/2006/main" count="865" uniqueCount="250">
  <si>
    <t>50-Day Data Analyst Coding Challenge – Day 1 (Excel)</t>
  </si>
  <si>
    <t>Context:</t>
  </si>
  <si>
    <t>In the IT industry, analysts often receive raw sales or operational data and must analyze it to generate insights.</t>
  </si>
  <si>
    <t>Your task today simulates a real-world business scenario.</t>
  </si>
  <si>
    <t>Business Scenario:</t>
  </si>
  <si>
    <t>You are a Junior Data Analyst working for a retail company.</t>
  </si>
  <si>
    <t>The sales team has shared raw sales data and asked you to analyze regional performance.</t>
  </si>
  <si>
    <t>Tasks to Perform:</t>
  </si>
  <si>
    <t>1. Clean the data if required.</t>
  </si>
  <si>
    <t>2. Calculate Total Revenue using formula: Quantity * Unit Price.</t>
  </si>
  <si>
    <t>3. Create a Pivot Table showing:</t>
  </si>
  <si>
    <t xml:space="preserve">   - Total Revenue by Region</t>
  </si>
  <si>
    <t xml:space="preserve">   - Total Revenue by Product Category</t>
  </si>
  <si>
    <t>4. Identify the Top 5 performing products by Revenue.</t>
  </si>
  <si>
    <t>5. Create a chart to visualize Revenue by Region.</t>
  </si>
  <si>
    <t>Expected Skills Used:</t>
  </si>
  <si>
    <t>- Basic Excel formulas</t>
  </si>
  <si>
    <t>- Pivot Tables</t>
  </si>
  <si>
    <t>- Sorting &amp; Filtering</t>
  </si>
  <si>
    <t>- Data visualization using charts</t>
  </si>
  <si>
    <t>Submission:</t>
  </si>
  <si>
    <t>Upload the Excel file with your analysis sheet added.</t>
  </si>
  <si>
    <t>Order_ID</t>
  </si>
  <si>
    <t>Order_Date</t>
  </si>
  <si>
    <t>Day</t>
  </si>
  <si>
    <t>Region</t>
  </si>
  <si>
    <t>Product</t>
  </si>
  <si>
    <t>Category</t>
  </si>
  <si>
    <t>Quantity</t>
  </si>
  <si>
    <t>Unit_Price</t>
  </si>
  <si>
    <t>Total Price</t>
  </si>
  <si>
    <t>Total Revenue</t>
  </si>
  <si>
    <t>ORD0001</t>
  </si>
  <si>
    <t>South</t>
  </si>
  <si>
    <t>Notebook</t>
  </si>
  <si>
    <t>Stationery</t>
  </si>
  <si>
    <t>ORD0002</t>
  </si>
  <si>
    <t>North</t>
  </si>
  <si>
    <t>Desk Chair</t>
  </si>
  <si>
    <t>Furniture</t>
  </si>
  <si>
    <t>ORD0003</t>
  </si>
  <si>
    <t>ORD0004</t>
  </si>
  <si>
    <t>Laptop</t>
  </si>
  <si>
    <t>Electronics</t>
  </si>
  <si>
    <t>Total orders</t>
  </si>
  <si>
    <t>ORD0005</t>
  </si>
  <si>
    <t>ORD0006</t>
  </si>
  <si>
    <t>ORD0007</t>
  </si>
  <si>
    <t>ORD0008</t>
  </si>
  <si>
    <t>Pen Pack</t>
  </si>
  <si>
    <t>Average</t>
  </si>
  <si>
    <t>ORD0009</t>
  </si>
  <si>
    <t>East</t>
  </si>
  <si>
    <t>ORD0010</t>
  </si>
  <si>
    <t>Keyboard</t>
  </si>
  <si>
    <t>ORD0011</t>
  </si>
  <si>
    <t>West</t>
  </si>
  <si>
    <t>Mouse</t>
  </si>
  <si>
    <t>ORD0012</t>
  </si>
  <si>
    <t>Monitor</t>
  </si>
  <si>
    <t>ORD0013</t>
  </si>
  <si>
    <t>ORD0014</t>
  </si>
  <si>
    <t>ORD0015</t>
  </si>
  <si>
    <t>ORD0016</t>
  </si>
  <si>
    <t>ORD0017</t>
  </si>
  <si>
    <t>ORD0018</t>
  </si>
  <si>
    <t>ORD0019</t>
  </si>
  <si>
    <t>ORD0020</t>
  </si>
  <si>
    <t>ORD0021</t>
  </si>
  <si>
    <t>ORD0022</t>
  </si>
  <si>
    <t>ORD0023</t>
  </si>
  <si>
    <t>ORD0024</t>
  </si>
  <si>
    <t>ORD0025</t>
  </si>
  <si>
    <t>ORD0026</t>
  </si>
  <si>
    <t>ORD0027</t>
  </si>
  <si>
    <t>ORD0028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</si>
  <si>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</si>
  <si>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</si>
  <si>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</si>
  <si>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</si>
  <si>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</si>
  <si>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</si>
  <si>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</si>
  <si>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</si>
  <si>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</si>
  <si>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ORD0038</t>
  </si>
  <si>
    <t>ORD0039</t>
  </si>
  <si>
    <t>ORD0040</t>
  </si>
  <si>
    <t>ORD0041</t>
  </si>
  <si>
    <t>ORD0042</t>
  </si>
  <si>
    <t>ORD0043</t>
  </si>
  <si>
    <t>ORD0044</t>
  </si>
  <si>
    <t>ORD0045</t>
  </si>
  <si>
    <t>ORD0046</t>
  </si>
  <si>
    <t>ORD0047</t>
  </si>
  <si>
    <t>ORD0048</t>
  </si>
  <si>
    <t>ORD0049</t>
  </si>
  <si>
    <t>ORD0050</t>
  </si>
  <si>
    <t>ORD0051</t>
  </si>
  <si>
    <t>ORD0052</t>
  </si>
  <si>
    <t>ORD0053</t>
  </si>
  <si>
    <t>ORD0054</t>
  </si>
  <si>
    <t>ORD0055</t>
  </si>
  <si>
    <t>ORD0056</t>
  </si>
  <si>
    <t>ORD0057</t>
  </si>
  <si>
    <t>ORD0058</t>
  </si>
  <si>
    <t>ORD0059</t>
  </si>
  <si>
    <t>ORD0060</t>
  </si>
  <si>
    <t>ORD0061</t>
  </si>
  <si>
    <t>ORD0062</t>
  </si>
  <si>
    <t>ORD0063</t>
  </si>
  <si>
    <t>ORD0064</t>
  </si>
  <si>
    <t>ORD0065</t>
  </si>
  <si>
    <t>ORD0066</t>
  </si>
  <si>
    <t>ORD0067</t>
  </si>
  <si>
    <t>ORD0068</t>
  </si>
  <si>
    <t>ORD0069</t>
  </si>
  <si>
    <t>ORD0070</t>
  </si>
  <si>
    <t>ORD0071</t>
  </si>
  <si>
    <t>ORD0072</t>
  </si>
  <si>
    <t>ORD0073</t>
  </si>
  <si>
    <t>ORD0074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</si>
  <si>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</si>
  <si>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</si>
  <si>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</si>
  <si>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</si>
  <si>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</si>
  <si>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</si>
  <si>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</si>
  <si>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</si>
  <si>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</si>
  <si>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</si>
  <si>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</si>
  <si>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</si>
  <si>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</si>
  <si>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</si>
  <si>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</si>
  <si>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</si>
  <si>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</si>
  <si>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</si>
  <si>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</si>
  <si>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</si>
  <si>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</si>
  <si>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</si>
  <si>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</si>
  <si>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</si>
  <si>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</si>
  <si>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</si>
  <si>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</si>
  <si>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</si>
  <si>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</si>
  <si>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</si>
  <si>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</si>
  <si>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</si>
  <si>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</si>
  <si>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</si>
  <si>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</si>
  <si>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</si>
  <si>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</si>
  <si>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</si>
  <si>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</si>
  <si>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</si>
  <si>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</si>
  <si>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ORD0116</t>
  </si>
  <si>
    <t>ORD0117</t>
  </si>
  <si>
    <t>ORD0118</t>
  </si>
  <si>
    <t>ORD0119</t>
  </si>
  <si>
    <t>ORD0120</t>
  </si>
  <si>
    <t>ORD0121</t>
  </si>
  <si>
    <t>ORD0122</t>
  </si>
  <si>
    <t>ORD0123</t>
  </si>
  <si>
    <t>ORD0124</t>
  </si>
  <si>
    <t>ORD0125</t>
  </si>
  <si>
    <t>ORD0126</t>
  </si>
  <si>
    <t>ORD0127</t>
  </si>
  <si>
    <t>ORD0128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</si>
  <si>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</si>
  <si>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</si>
  <si>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</si>
  <si>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</si>
  <si>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</si>
  <si>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</si>
  <si>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</si>
  <si>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</si>
  <si>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</si>
  <si>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</si>
  <si>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</si>
  <si>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</si>
  <si>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</si>
  <si>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</si>
  <si>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</si>
  <si>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</si>
  <si>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</si>
  <si>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</si>
  <si>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</si>
  <si>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</si>
  <si>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</si>
  <si>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</si>
  <si>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</si>
  <si>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</si>
  <si>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</si>
  <si>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</si>
  <si>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</si>
  <si>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</si>
  <si>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</si>
  <si>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</si>
  <si>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</si>
  <si>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</si>
  <si>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</si>
  <si>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</si>
  <si>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</si>
  <si>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</si>
  <si>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</si>
  <si>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</si>
  <si>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</si>
  <si>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</si>
  <si>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</si>
  <si>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</si>
  <si>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</si>
  <si>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</si>
  <si>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</si>
  <si>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</si>
  <si>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</si>
  <si>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</si>
  <si>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</si>
  <si>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</si>
  <si>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</si>
  <si>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</si>
  <si>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</si>
  <si>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</si>
  <si>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</si>
  <si>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</si>
  <si>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</si>
  <si>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</si>
  <si>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</si>
  <si>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</si>
  <si>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</si>
  <si>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</si>
  <si>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</si>
  <si>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</si>
  <si>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</si>
  <si>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</si>
  <si>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</si>
  <si>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</si>
  <si>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</si>
  <si>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</si>
  <si>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</si>
  <si>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</si>
  <si>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Sum of Total Price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</si>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</sst>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m/d/yyyy;@"/>
    <numFmt numFmtId="179" formatCode="#,##0.0"/>
  </numFmts>
  <fonts count="23">
    <font>
      <sz val="1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7"/>
        <bgColor theme="7"/>
      </patternFill>
    </fill>
    <fill>
      <patternFill patternType="solid">
        <fgColor theme="7" tint="0.599993896298105"/>
        <bgColor theme="7" tint="0.599993896298105"/>
      </patternFill>
    </fill>
    <fill>
      <patternFill patternType="solid">
        <fgColor theme="7" tint="0.799981688894314"/>
        <bgColor theme="7" tint="0.799981688894314"/>
      </patternFill>
    </fill>
    <fill>
      <patternFill patternType="solid">
        <fgColor theme="6"/>
        <bgColor theme="6"/>
      </patternFill>
    </fill>
    <fill>
      <patternFill patternType="solid">
        <fgColor theme="6" tint="0.799981688894314"/>
        <bgColor theme="6" tint="0.799981688894314"/>
      </patternFill>
    </fill>
    <fill>
      <patternFill patternType="solid">
        <fgColor rgb="FFFFFF00"/>
        <bgColor rgb="FFFFFF00"/>
      </patternFill>
    </fill>
    <fill>
      <patternFill patternType="solid">
        <fgColor rgb="FF76923C"/>
        <bgColor rgb="FF76923C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 style="thick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ck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 tint="0.399975585192419"/>
      </bottom>
      <diagonal/>
    </border>
    <border>
      <left style="thin">
        <color theme="0"/>
      </left>
      <right/>
      <top style="thick">
        <color theme="0"/>
      </top>
      <bottom style="thin">
        <color theme="0"/>
      </bottom>
      <diagonal/>
    </border>
    <border>
      <left style="thin">
        <color theme="6"/>
      </left>
      <right style="thin">
        <color theme="6"/>
      </right>
      <top style="thin">
        <color theme="6" tint="0.399975585192419"/>
      </top>
      <bottom style="thin">
        <color theme="6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2" fillId="9" borderId="15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6" applyNumberFormat="0" applyFill="0" applyAlignment="0" applyProtection="0">
      <alignment vertical="center"/>
    </xf>
    <xf numFmtId="0" fontId="10" fillId="0" borderId="16" applyNumberFormat="0" applyFill="0" applyAlignment="0" applyProtection="0">
      <alignment vertical="center"/>
    </xf>
    <xf numFmtId="0" fontId="11" fillId="0" borderId="17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10" borderId="18" applyNumberFormat="0" applyAlignment="0" applyProtection="0">
      <alignment vertical="center"/>
    </xf>
    <xf numFmtId="0" fontId="13" fillId="11" borderId="19" applyNumberFormat="0" applyAlignment="0" applyProtection="0">
      <alignment vertical="center"/>
    </xf>
    <xf numFmtId="0" fontId="14" fillId="11" borderId="18" applyNumberFormat="0" applyAlignment="0" applyProtection="0">
      <alignment vertical="center"/>
    </xf>
    <xf numFmtId="0" fontId="15" fillId="12" borderId="20" applyNumberFormat="0" applyAlignment="0" applyProtection="0">
      <alignment vertical="center"/>
    </xf>
    <xf numFmtId="0" fontId="16" fillId="0" borderId="21" applyNumberFormat="0" applyFill="0" applyAlignment="0" applyProtection="0">
      <alignment vertical="center"/>
    </xf>
    <xf numFmtId="0" fontId="17" fillId="0" borderId="22" applyNumberFormat="0" applyFill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36" borderId="0" applyNumberFormat="0" applyBorder="0" applyAlignment="0" applyProtection="0">
      <alignment vertical="center"/>
    </xf>
    <xf numFmtId="0" fontId="22" fillId="37" borderId="0" applyNumberFormat="0" applyBorder="0" applyAlignment="0" applyProtection="0">
      <alignment vertical="center"/>
    </xf>
    <xf numFmtId="0" fontId="22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</cellStyleXfs>
  <cellXfs count="33">
    <xf numFmtId="0" fontId="0" fillId="0" borderId="0" xfId="0" applyFont="1" applyAlignment="1"/>
    <xf numFmtId="178" fontId="0" fillId="0" borderId="0" xfId="0" applyNumberFormat="1" applyFont="1" applyAlignment="1"/>
    <xf numFmtId="179" fontId="0" fillId="0" borderId="0" xfId="0" applyNumberFormat="1" applyFont="1" applyAlignment="1"/>
    <xf numFmtId="0" fontId="1" fillId="2" borderId="1" xfId="0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79" fontId="1" fillId="2" borderId="2" xfId="0" applyNumberFormat="1" applyFont="1" applyFill="1" applyBorder="1" applyAlignment="1">
      <alignment horizontal="center" vertical="center"/>
    </xf>
    <xf numFmtId="0" fontId="2" fillId="3" borderId="3" xfId="0" applyFont="1" applyFill="1" applyBorder="1"/>
    <xf numFmtId="178" fontId="2" fillId="3" borderId="4" xfId="0" applyNumberFormat="1" applyFont="1" applyFill="1" applyBorder="1"/>
    <xf numFmtId="0" fontId="2" fillId="3" borderId="4" xfId="0" applyFont="1" applyFill="1" applyBorder="1"/>
    <xf numFmtId="179" fontId="2" fillId="3" borderId="4" xfId="0" applyNumberFormat="1" applyFont="1" applyFill="1" applyBorder="1"/>
    <xf numFmtId="0" fontId="2" fillId="4" borderId="5" xfId="0" applyFont="1" applyFill="1" applyBorder="1"/>
    <xf numFmtId="178" fontId="2" fillId="4" borderId="6" xfId="0" applyNumberFormat="1" applyFont="1" applyFill="1" applyBorder="1"/>
    <xf numFmtId="0" fontId="2" fillId="4" borderId="6" xfId="0" applyFont="1" applyFill="1" applyBorder="1"/>
    <xf numFmtId="179" fontId="2" fillId="4" borderId="6" xfId="0" applyNumberFormat="1" applyFont="1" applyFill="1" applyBorder="1"/>
    <xf numFmtId="0" fontId="2" fillId="3" borderId="5" xfId="0" applyFont="1" applyFill="1" applyBorder="1"/>
    <xf numFmtId="178" fontId="2" fillId="3" borderId="6" xfId="0" applyNumberFormat="1" applyFont="1" applyFill="1" applyBorder="1"/>
    <xf numFmtId="0" fontId="2" fillId="3" borderId="6" xfId="0" applyFont="1" applyFill="1" applyBorder="1"/>
    <xf numFmtId="179" fontId="2" fillId="3" borderId="6" xfId="0" applyNumberFormat="1" applyFont="1" applyFill="1" applyBorder="1"/>
    <xf numFmtId="0" fontId="1" fillId="2" borderId="7" xfId="0" applyFont="1" applyFill="1" applyBorder="1" applyAlignment="1">
      <alignment horizontal="center" vertical="center"/>
    </xf>
    <xf numFmtId="0" fontId="1" fillId="5" borderId="8" xfId="0" applyFont="1" applyFill="1" applyBorder="1" applyAlignment="1"/>
    <xf numFmtId="179" fontId="2" fillId="3" borderId="9" xfId="0" applyNumberFormat="1" applyFont="1" applyFill="1" applyBorder="1"/>
    <xf numFmtId="179" fontId="2" fillId="6" borderId="10" xfId="0" applyNumberFormat="1" applyFont="1" applyFill="1" applyBorder="1" applyAlignment="1"/>
    <xf numFmtId="179" fontId="2" fillId="4" borderId="11" xfId="0" applyNumberFormat="1" applyFont="1" applyFill="1" applyBorder="1"/>
    <xf numFmtId="179" fontId="2" fillId="3" borderId="11" xfId="0" applyNumberFormat="1" applyFont="1" applyFill="1" applyBorder="1"/>
    <xf numFmtId="0" fontId="2" fillId="6" borderId="10" xfId="0" applyFont="1" applyFill="1" applyBorder="1" applyAlignment="1"/>
    <xf numFmtId="0" fontId="2" fillId="4" borderId="12" xfId="0" applyFont="1" applyFill="1" applyBorder="1"/>
    <xf numFmtId="178" fontId="2" fillId="4" borderId="13" xfId="0" applyNumberFormat="1" applyFont="1" applyFill="1" applyBorder="1"/>
    <xf numFmtId="0" fontId="2" fillId="4" borderId="13" xfId="0" applyFont="1" applyFill="1" applyBorder="1"/>
    <xf numFmtId="179" fontId="2" fillId="4" borderId="13" xfId="0" applyNumberFormat="1" applyFont="1" applyFill="1" applyBorder="1"/>
    <xf numFmtId="179" fontId="2" fillId="4" borderId="14" xfId="0" applyNumberFormat="1" applyFont="1" applyFill="1" applyBorder="1"/>
    <xf numFmtId="0" fontId="3" fillId="7" borderId="0" xfId="0" applyFont="1" applyFill="1" applyBorder="1"/>
    <xf numFmtId="0" fontId="3" fillId="8" borderId="0" xfId="0" applyFont="1" applyFill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theme="5" tint="0.799981688894314"/>
          <bgColor theme="5" tint="0.799981688894314"/>
        </patternFill>
      </fill>
      <border>
        <bottom style="thin">
          <color theme="5" tint="0.399975585192419"/>
        </bottom>
      </border>
    </dxf>
    <dxf>
      <font>
        <b val="1"/>
      </font>
      <fill>
        <patternFill patternType="solid">
          <fgColor theme="5" tint="0.799981688894314"/>
          <bgColor theme="5" tint="0.799981688894314"/>
        </patternFill>
      </fill>
      <border>
        <bottom style="thin">
          <color theme="5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5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5"/>
        </top>
        <bottom style="thin">
          <color theme="5"/>
        </bottom>
      </border>
    </dxf>
    <dxf>
      <fill>
        <patternFill patternType="solid">
          <fgColor theme="5" tint="0.799981688894314"/>
          <bgColor theme="5" tint="0.799981688894314"/>
        </patternFill>
      </fill>
    </dxf>
    <dxf>
      <fill>
        <patternFill patternType="solid">
          <fgColor theme="5" tint="0.799981688894314"/>
          <bgColor theme="5" tint="0.799981688894314"/>
        </patternFill>
      </fill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  <border>
        <top style="thin">
          <color theme="5" tint="0.399975585192419"/>
        </top>
        <bottom style="thin">
          <color theme="5" tint="0.399975585192419"/>
        </bottom>
      </border>
    </dxf>
    <dxf>
      <font>
        <b val="1"/>
        <color theme="1"/>
      </font>
      <fill>
        <patternFill patternType="solid">
          <fgColor theme="5" tint="0.799981688894314"/>
          <bgColor theme="5" tint="0.799981688894314"/>
        </patternFill>
      </fill>
      <border>
        <bottom style="thin">
          <color theme="5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  <tableStyle name="PivotStylePreset2_Accent2" table="0" count="10" xr9:uid="{E146F9C5-35A7-4CB9-B15A-D3D585DB54DD}">
      <tableStyleElement type="headerRow" dxfId="26"/>
      <tableStyleElement type="totalRow" dxfId="25"/>
      <tableStyleElement type="firstRowStripe" dxfId="24"/>
      <tableStyleElement type="firstColumnStripe" dxfId="23"/>
      <tableStyleElement type="firstSubtotalRow" dxfId="22"/>
      <tableStyleElement type="secondSubtotalRow" dxfId="21"/>
      <tableStyleElement type="firstRowSubheading" dxfId="20"/>
      <tableStyleElement type="secondRowSubheading" dxfId="19"/>
      <tableStyleElement type="pageFieldLabels" dxfId="18"/>
      <tableStyleElement type="pageFieldValues" dxfId="1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microsoft.com/office/2007/relationships/slicerCache" Target="slicerCaches/slicerCache3.xml"/><Relationship Id="rId6" Type="http://schemas.microsoft.com/office/2007/relationships/slicerCache" Target="slicerCaches/slicerCache2.xml"/><Relationship Id="rId5" Type="http://schemas.microsoft.com/office/2007/relationships/slicerCache" Target="slicerCaches/slicerCache1.xml"/><Relationship Id="rId4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[day1_excel_data_analyst_challenge.xlsx]Pivot Table Showing!PivotTable4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Region</a:t>
            </a:r>
            <a:endParaRPr lang="en-US" altLang="en-GB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 Showing'!$B$3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1"/>
                </a:gs>
                <a:gs pos="0">
                  <a:schemeClr val="accent1">
                    <a:hueOff val="-1670000"/>
                  </a:schemeClr>
                </a:gs>
              </a:gsLst>
              <a:lin ang="5400000" scaled="0"/>
            </a:gradFill>
            <a:ln>
              <a:gradFill>
                <a:gsLst>
                  <a:gs pos="100000">
                    <a:schemeClr val="accent1">
                      <a:lumMod val="75000"/>
                    </a:schemeClr>
                  </a:gs>
                  <a:gs pos="0">
                    <a:schemeClr val="accent1">
                      <a:lumMod val="75000"/>
                      <a:hueOff val="-1670000"/>
                    </a:schemeClr>
                  </a:gs>
                </a:gsLst>
                <a:lin ang="462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Showing'!$A$4:$A$8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'Pivot Table Showing'!$B$4:$B$8</c:f>
              <c:numCache>
                <c:formatCode>General</c:formatCode>
                <c:ptCount val="4"/>
                <c:pt idx="0">
                  <c:v>116463</c:v>
                </c:pt>
                <c:pt idx="1">
                  <c:v>104808</c:v>
                </c:pt>
                <c:pt idx="2">
                  <c:v>108472</c:v>
                </c:pt>
                <c:pt idx="3">
                  <c:v>117043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500"/>
        <c:overlap val="-50"/>
        <c:axId val="163688974"/>
        <c:axId val="855660627"/>
      </c:barChart>
      <c:catAx>
        <c:axId val="163688974"/>
        <c:scaling>
          <c:orientation val="minMax"/>
        </c:scaling>
        <c:delete val="1"/>
        <c:axPos val="b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55660627"/>
        <c:crosses val="autoZero"/>
        <c:auto val="1"/>
        <c:lblAlgn val="ctr"/>
        <c:lblOffset val="100"/>
        <c:noMultiLvlLbl val="0"/>
      </c:catAx>
      <c:valAx>
        <c:axId val="8556606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lt1">
                  <a:lumMod val="902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6368897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[day1_excel_data_analyst_challenge.xlsx]Pivot Table Showing!PivotTable5</c:name>
    <c:fmtId val="0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GB" sz="14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en-GB"/>
              <a:t>Revenue by Category</a:t>
            </a:r>
            <a:endParaRPr lang="en-US" altLang="en-GB"/>
          </a:p>
        </c:rich>
      </c:tx>
      <c:layout>
        <c:manualLayout>
          <c:xMode val="edge"/>
          <c:yMode val="edge"/>
          <c:x val="0.420640176600442"/>
          <c:y val="0.178494621348637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'Pivot Table Showing'!$B$10</c:f>
              <c:strCache>
                <c:ptCount val="1"/>
                <c:pt idx="0">
                  <c:v>Total</c:v>
                </c:pt>
              </c:strCache>
            </c:strRef>
          </c:tx>
          <c:spPr>
            <a:gradFill>
              <a:gsLst>
                <a:gs pos="100000">
                  <a:schemeClr val="accent6"/>
                </a:gs>
                <a:gs pos="0">
                  <a:schemeClr val="accent6">
                    <a:hueOff val="-1670000"/>
                  </a:schemeClr>
                </a:gs>
              </a:gsLst>
              <a:lin ang="10800000" scaled="0"/>
            </a:gradFill>
            <a:ln>
              <a:gradFill>
                <a:gsLst>
                  <a:gs pos="95000">
                    <a:schemeClr val="accent6">
                      <a:lumMod val="75000"/>
                    </a:schemeClr>
                  </a:gs>
                  <a:gs pos="0">
                    <a:schemeClr val="accent6">
                      <a:lumMod val="75000"/>
                      <a:hueOff val="-1670000"/>
                    </a:schemeClr>
                  </a:gs>
                </a:gsLst>
                <a:lin ang="10800000" scaled="0"/>
              </a:gra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1000" b="0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'Pivot Table Showing'!$A$11:$A$14</c:f>
              <c:strCache>
                <c:ptCount val="3"/>
                <c:pt idx="0">
                  <c:v>Electronics</c:v>
                </c:pt>
                <c:pt idx="1">
                  <c:v>Furniture</c:v>
                </c:pt>
                <c:pt idx="2">
                  <c:v>Stationery</c:v>
                </c:pt>
              </c:strCache>
            </c:strRef>
          </c:cat>
          <c:val>
            <c:numRef>
              <c:f>'Pivot Table Showing'!$B$11:$B$14</c:f>
              <c:numCache>
                <c:formatCode>General</c:formatCode>
                <c:ptCount val="3"/>
                <c:pt idx="0">
                  <c:v>227030</c:v>
                </c:pt>
                <c:pt idx="1">
                  <c:v>90635</c:v>
                </c:pt>
                <c:pt idx="2">
                  <c:v>129121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40"/>
        <c:axId val="676949423"/>
        <c:axId val="636008245"/>
      </c:barChart>
      <c:catAx>
        <c:axId val="676949423"/>
        <c:scaling>
          <c:orientation val="minMax"/>
        </c:scaling>
        <c:delete val="0"/>
        <c:axPos val="l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36008245"/>
        <c:crosses val="autoZero"/>
        <c:auto val="1"/>
        <c:lblAlgn val="ctr"/>
        <c:lblOffset val="100"/>
        <c:noMultiLvlLbl val="0"/>
      </c:catAx>
      <c:valAx>
        <c:axId val="63600824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GB"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676949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lt1">
        <a:lumMod val="96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[day1_excel_data_analyst_challenge.xlsx]Pivot Table Showing!PivotTable7</c:name>
    <c:fmtId val="2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'Pivot Table Showing'!$B$16</c:f>
              <c:strCache>
                <c:ptCount val="1"/>
                <c:pt idx="0">
                  <c:v>Total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GB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Table Showing'!$A$17:$A$24</c:f>
              <c:strCache>
                <c:ptCount val="7"/>
                <c:pt idx="0">
                  <c:v>Desk Chair</c:v>
                </c:pt>
                <c:pt idx="1">
                  <c:v>Notebook</c:v>
                </c:pt>
                <c:pt idx="2">
                  <c:v>Mouse</c:v>
                </c:pt>
                <c:pt idx="3">
                  <c:v>Keyboard</c:v>
                </c:pt>
                <c:pt idx="4">
                  <c:v>Laptop</c:v>
                </c:pt>
                <c:pt idx="5">
                  <c:v>Pen Pack</c:v>
                </c:pt>
                <c:pt idx="6">
                  <c:v>Monitor</c:v>
                </c:pt>
              </c:strCache>
            </c:strRef>
          </c:cat>
          <c:val>
            <c:numRef>
              <c:f>'Pivot Table Showing'!$B$17:$B$24</c:f>
              <c:numCache>
                <c:formatCode>General</c:formatCode>
                <c:ptCount val="7"/>
                <c:pt idx="0">
                  <c:v>90635</c:v>
                </c:pt>
                <c:pt idx="1">
                  <c:v>78975</c:v>
                </c:pt>
                <c:pt idx="2">
                  <c:v>66018</c:v>
                </c:pt>
                <c:pt idx="3">
                  <c:v>64187</c:v>
                </c:pt>
                <c:pt idx="4">
                  <c:v>53108</c:v>
                </c:pt>
                <c:pt idx="5">
                  <c:v>50146</c:v>
                </c:pt>
                <c:pt idx="6">
                  <c:v>43717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1"/>
          <c:showBubbleSize val="1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GB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GB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07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5400000" scaled="0"/>
      </a:gradFill>
      <a:ln>
        <a:gradFill>
          <a:gsLst>
            <a:gs pos="100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462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125">
  <cs:axisTitle>
    <cs:lnRef idx="0"/>
    <cs:fillRef idx="0"/>
    <cs:effectRef idx="0"/>
    <cs:fontRef idx="minor">
      <a:schemeClr val="dk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lt1">
          <a:lumMod val="96000"/>
        </a:schemeClr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100000">
            <a:schemeClr val="phClr"/>
          </a:gs>
          <a:gs pos="0">
            <a:schemeClr val="phClr">
              <a:hueOff val="-1670000"/>
            </a:schemeClr>
          </a:gs>
        </a:gsLst>
        <a:lin ang="10800000" scaled="0"/>
      </a:gradFill>
      <a:ln>
        <a:gradFill>
          <a:gsLst>
            <a:gs pos="95000">
              <a:schemeClr val="phClr">
                <a:lumMod val="75000"/>
              </a:schemeClr>
            </a:gs>
            <a:gs pos="0">
              <a:schemeClr val="phClr">
                <a:lumMod val="75000"/>
                <a:hueOff val="-1670000"/>
              </a:schemeClr>
            </a:gs>
          </a:gsLst>
          <a:lin ang="10800000" scaled="0"/>
        </a:gra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75000"/>
            <a:lumOff val="25000"/>
          </a:schemeClr>
        </a:solidFill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>
        <a:solidFill>
          <a:schemeClr val="dk1">
            <a:lumMod val="35000"/>
            <a:lumOff val="65000"/>
          </a:schemeClr>
        </a:solidFill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4</xdr:col>
      <xdr:colOff>356870</xdr:colOff>
      <xdr:row>0</xdr:row>
      <xdr:rowOff>177165</xdr:rowOff>
    </xdr:from>
    <xdr:to>
      <xdr:col>7</xdr:col>
      <xdr:colOff>70485</xdr:colOff>
      <xdr:row>9</xdr:row>
      <xdr:rowOff>13970</xdr:rowOff>
    </xdr:to>
    <xdr:graphicFrame>
      <xdr:nvGraphicFramePr>
        <xdr:cNvPr id="2" name="Chart 1"/>
        <xdr:cNvGraphicFramePr/>
      </xdr:nvGraphicFramePr>
      <xdr:xfrm>
        <a:off x="4230370" y="177165"/>
        <a:ext cx="2361565" cy="149415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165100</xdr:colOff>
      <xdr:row>1</xdr:row>
      <xdr:rowOff>12700</xdr:rowOff>
    </xdr:from>
    <xdr:to>
      <xdr:col>4</xdr:col>
      <xdr:colOff>171450</xdr:colOff>
      <xdr:row>8</xdr:row>
      <xdr:rowOff>38100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Region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03450" y="196850"/>
              <a:ext cx="1841500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139700</xdr:colOff>
      <xdr:row>15</xdr:row>
      <xdr:rowOff>12700</xdr:rowOff>
    </xdr:from>
    <xdr:to>
      <xdr:col>4</xdr:col>
      <xdr:colOff>196850</xdr:colOff>
      <xdr:row>24</xdr:row>
      <xdr:rowOff>70485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Produc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roduc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78050" y="2774950"/>
              <a:ext cx="1892300" cy="1715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127000</xdr:colOff>
      <xdr:row>9</xdr:row>
      <xdr:rowOff>0</xdr:rowOff>
    </xdr:from>
    <xdr:to>
      <xdr:col>4</xdr:col>
      <xdr:colOff>253365</xdr:colOff>
      <xdr:row>14</xdr:row>
      <xdr:rowOff>114300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Category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tego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65350" y="1657350"/>
              <a:ext cx="1961515" cy="10350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4</xdr:col>
      <xdr:colOff>304165</xdr:colOff>
      <xdr:row>9</xdr:row>
      <xdr:rowOff>95250</xdr:rowOff>
    </xdr:from>
    <xdr:to>
      <xdr:col>7</xdr:col>
      <xdr:colOff>570230</xdr:colOff>
      <xdr:row>16</xdr:row>
      <xdr:rowOff>126365</xdr:rowOff>
    </xdr:to>
    <xdr:graphicFrame>
      <xdr:nvGraphicFramePr>
        <xdr:cNvPr id="6" name="Chart 5"/>
        <xdr:cNvGraphicFramePr/>
      </xdr:nvGraphicFramePr>
      <xdr:xfrm>
        <a:off x="4177665" y="1752600"/>
        <a:ext cx="2914015" cy="132016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368300</xdr:colOff>
      <xdr:row>17</xdr:row>
      <xdr:rowOff>75565</xdr:rowOff>
    </xdr:from>
    <xdr:to>
      <xdr:col>8</xdr:col>
      <xdr:colOff>69215</xdr:colOff>
      <xdr:row>29</xdr:row>
      <xdr:rowOff>107315</xdr:rowOff>
    </xdr:to>
    <xdr:graphicFrame>
      <xdr:nvGraphicFramePr>
        <xdr:cNvPr id="9" name="Chart 8"/>
        <xdr:cNvGraphicFramePr/>
      </xdr:nvGraphicFramePr>
      <xdr:xfrm>
        <a:off x="4241800" y="3206115"/>
        <a:ext cx="2958465" cy="224155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103.5938773148" refreshedBy="HP" recordCount="200">
  <cacheSource type="worksheet">
    <worksheetSource ref="A1:I201" sheet="Sales_Data"/>
  </cacheSource>
  <cacheFields count="9">
    <cacheField name="Order_ID" numFmtId="0">
      <sharedItems count="200"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</sharedItems>
    </cacheField>
    <cacheField name="Order_Date" numFmtId="178">
      <sharedItems containsSemiMixedTypes="0" containsString="0" containsNonDate="0" containsDate="1" minDate="2025-01-01T00:00:00" maxDate="2025-03-02T00:00:00" count="60">
        <d v="2025-01-28T00:00:00"/>
        <d v="2025-01-29T00:00:00"/>
        <d v="2025-02-13T00:00:00"/>
        <d v="2025-01-05T00:00:00"/>
        <d v="2025-02-04T00:00:00"/>
        <d v="2025-02-23T00:00:00"/>
        <d v="2025-01-23T00:00:00"/>
        <d v="2025-02-27T00:00:00"/>
        <d v="2025-01-02T00:00:00"/>
        <d v="2025-02-14T00:00:00"/>
        <d v="2025-02-15T00:00:00"/>
        <d v="2025-01-22T00:00:00"/>
        <d v="2025-02-03T00:00:00"/>
        <d v="2025-02-05T00:00:00"/>
        <d v="2025-02-26T00:00:00"/>
        <d v="2025-02-01T00:00:00"/>
        <d v="2025-02-11T00:00:00"/>
        <d v="2025-01-19T00:00:00"/>
        <d v="2025-01-15T00:00:00"/>
        <d v="2025-01-26T00:00:00"/>
        <d v="2025-02-18T00:00:00"/>
        <d v="2025-01-09T00:00:00"/>
        <d v="2025-02-21T00:00:00"/>
        <d v="2025-01-25T00:00:00"/>
        <d v="2025-03-01T00:00:00"/>
        <d v="2025-02-10T00:00:00"/>
        <d v="2025-02-22T00:00:00"/>
        <d v="2025-01-12T00:00:00"/>
        <d v="2025-01-21T00:00:00"/>
        <d v="2025-01-11T00:00:00"/>
        <d v="2025-02-19T00:00:00"/>
        <d v="2025-01-08T00:00:00"/>
        <d v="2025-03-02T00:00:00"/>
        <d v="2025-02-06T00:00:00"/>
        <d v="2025-02-16T00:00:00"/>
        <d v="2025-01-03T00:00:00"/>
        <d v="2025-01-10T00:00:00"/>
        <d v="2025-02-02T00:00:00"/>
        <d v="2025-01-31T00:00:00"/>
        <d v="2025-02-17T00:00:00"/>
        <d v="2025-01-06T00:00:00"/>
        <d v="2025-02-25T00:00:00"/>
        <d v="2025-01-24T00:00:00"/>
        <d v="2025-01-20T00:00:00"/>
        <d v="2025-01-13T00:00:00"/>
        <d v="2025-01-04T00:00:00"/>
        <d v="2025-01-14T00:00:00"/>
        <d v="2025-01-01T00:00:00"/>
        <d v="2025-01-16T00:00:00"/>
        <d v="2025-02-24T00:00:00"/>
        <d v="2025-01-17T00:00:00"/>
        <d v="2025-02-20T00:00:00"/>
        <d v="2025-01-18T00:00:00"/>
        <d v="2025-01-30T00:00:00"/>
        <d v="2025-01-07T00:00:00"/>
        <d v="2025-02-12T00:00:00"/>
        <d v="2025-02-07T00:00:00"/>
        <d v="2025-01-27T00:00:00"/>
        <d v="2025-02-08T00:00:00"/>
        <d v="2025-02-09T00:00:00"/>
      </sharedItems>
    </cacheField>
    <cacheField name="Day" numFmtId="0">
      <sharedItems count="7">
        <s v="Tuesday"/>
        <s v="Wednesday"/>
        <s v="Thursday"/>
        <s v="Sunday"/>
        <s v="Friday"/>
        <s v="Saturday"/>
        <s v="Monday"/>
      </sharedItems>
    </cacheField>
    <cacheField name="Region" numFmtId="0">
      <sharedItems count="4">
        <s v="South"/>
        <s v="North"/>
        <s v="East"/>
        <s v="West"/>
      </sharedItems>
    </cacheField>
    <cacheField name="Product" numFmtId="0">
      <sharedItems count="7">
        <s v="Notebook"/>
        <s v="Desk Chair"/>
        <s v="Laptop"/>
        <s v="Pen Pack"/>
        <s v="Keyboard"/>
        <s v="Mouse"/>
        <s v="Monitor"/>
      </sharedItems>
    </cacheField>
    <cacheField name="Category" numFmtId="0">
      <sharedItems count="3">
        <s v="Stationery"/>
        <s v="Furniture"/>
        <s v="Electronics"/>
      </sharedItems>
    </cacheField>
    <cacheField name="Quantity" numFmtId="0">
      <sharedItems containsSemiMixedTypes="0" containsString="0" containsNumber="1" containsInteger="1" minValue="1" maxValue="10" count="10">
        <n v="6"/>
        <n v="4"/>
        <n v="10"/>
        <n v="2"/>
        <n v="1"/>
        <n v="7"/>
        <n v="5"/>
        <n v="8"/>
        <n v="9"/>
        <n v="3"/>
      </sharedItems>
    </cacheField>
    <cacheField name="Unit_Price" numFmtId="179">
      <sharedItems containsSemiMixedTypes="0" containsString="0" containsNumber="1" containsInteger="1" minValue="18" maxValue="899" count="186">
        <n v="142"/>
        <n v="890"/>
        <n v="786"/>
        <n v="20"/>
        <n v="74"/>
        <n v="486"/>
        <n v="560"/>
        <n v="737"/>
        <n v="647"/>
        <n v="681"/>
        <n v="429"/>
        <n v="194"/>
        <n v="503"/>
        <n v="21"/>
        <n v="511"/>
        <n v="235"/>
        <n v="646"/>
        <n v="375"/>
        <n v="474"/>
        <n v="649"/>
        <n v="710"/>
        <n v="896"/>
        <n v="899"/>
        <n v="457"/>
        <n v="587"/>
        <n v="420"/>
        <n v="761"/>
        <n v="18"/>
        <n v="351"/>
        <n v="131"/>
        <n v="240"/>
        <n v="298"/>
        <n v="575"/>
        <n v="253"/>
        <n v="636"/>
        <n v="127"/>
        <n v="120"/>
        <n v="241"/>
        <n v="284"/>
        <n v="694"/>
        <n v="216"/>
        <n v="806"/>
        <n v="336"/>
        <n v="269"/>
        <n v="784"/>
        <n v="282"/>
        <n v="125"/>
        <n v="150"/>
        <n v="428"/>
        <n v="182"/>
        <n v="878"/>
        <n v="31"/>
        <n v="159"/>
        <n v="259"/>
        <n v="427"/>
        <n v="105"/>
        <n v="276"/>
        <n v="76"/>
        <n v="49"/>
        <n v="823"/>
        <n v="149"/>
        <n v="790"/>
        <n v="840"/>
        <n v="382"/>
        <n v="460"/>
        <n v="38"/>
        <n v="762"/>
        <n v="96"/>
        <n v="685"/>
        <n v="44"/>
        <n v="295"/>
        <n v="292"/>
        <n v="70"/>
        <n v="656"/>
        <n v="452"/>
        <n v="391"/>
        <n v="290"/>
        <n v="855"/>
        <n v="824"/>
        <n v="715"/>
        <n v="380"/>
        <n v="209"/>
        <n v="724"/>
        <n v="780"/>
        <n v="239"/>
        <n v="297"/>
        <n v="473"/>
        <n v="71"/>
        <n v="684"/>
        <n v="814"/>
        <n v="750"/>
        <n v="810"/>
        <n v="505"/>
        <n v="257"/>
        <n v="300"/>
        <n v="65"/>
        <n v="340"/>
        <n v="326"/>
        <n v="146"/>
        <n v="251"/>
        <n v="303"/>
        <n v="396"/>
        <n v="46"/>
        <n v="873"/>
        <n v="619"/>
        <n v="437"/>
        <n v="809"/>
        <n v="551"/>
        <n v="362"/>
        <n v="328"/>
        <n v="389"/>
        <n v="54"/>
        <n v="345"/>
        <n v="863"/>
        <n v="311"/>
        <n v="417"/>
        <n v="747"/>
        <n v="713"/>
        <n v="280"/>
        <n v="40"/>
        <n v="99"/>
        <n v="307"/>
        <n v="682"/>
        <n v="544"/>
        <n v="141"/>
        <n v="793"/>
        <n v="554"/>
        <n v="743"/>
        <n v="193"/>
        <n v="851"/>
        <n v="448"/>
        <n v="231"/>
        <n v="191"/>
        <n v="479"/>
        <n v="308"/>
        <n v="493"/>
        <n v="645"/>
        <n v="497"/>
        <n v="722"/>
        <n v="332"/>
        <n v="90"/>
        <n v="865"/>
        <n v="237"/>
        <n v="438"/>
        <n v="528"/>
        <n v="719"/>
        <n v="207"/>
        <n v="271"/>
        <n v="717"/>
        <n v="145"/>
        <n v="234"/>
        <n v="852"/>
        <n v="594"/>
        <n v="264"/>
        <n v="593"/>
        <n v="692"/>
        <n v="676"/>
        <n v="590"/>
        <n v="310"/>
        <n v="787"/>
        <n v="123"/>
        <n v="37"/>
        <n v="139"/>
        <n v="169"/>
        <n v="117"/>
        <n v="371"/>
        <n v="748"/>
        <n v="798"/>
        <n v="361"/>
        <n v="68"/>
        <n v="672"/>
        <n v="309"/>
        <n v="346"/>
        <n v="200"/>
        <n v="818"/>
        <n v="81"/>
        <n v="399"/>
        <n v="475"/>
        <n v="564"/>
        <n v="580"/>
        <n v="693"/>
        <n v="233"/>
        <n v="655"/>
        <n v="408"/>
        <n v="363"/>
        <n v="611"/>
      </sharedItems>
    </cacheField>
    <cacheField name="Total Price" numFmtId="179">
      <sharedItems containsSemiMixedTypes="0" containsString="0" containsNumber="1" containsInteger="1" minValue="40" maxValue="8900" count="192">
        <n v="852"/>
        <n v="3560"/>
        <n v="7860"/>
        <n v="40"/>
        <n v="74"/>
        <n v="1944"/>
        <n v="560"/>
        <n v="1474"/>
        <n v="647"/>
        <n v="4086"/>
        <n v="3003"/>
        <n v="1358"/>
        <n v="2012"/>
        <n v="42"/>
        <n v="3066"/>
        <n v="1410"/>
        <n v="3876"/>
        <n v="375"/>
        <n v="1896"/>
        <n v="3245"/>
        <n v="7100"/>
        <n v="6272"/>
        <n v="899"/>
        <n v="3656"/>
        <n v="5283"/>
        <n v="1680"/>
        <n v="3044"/>
        <n v="54"/>
        <n v="1053"/>
        <n v="1310"/>
        <n v="960"/>
        <n v="1490"/>
        <n v="2875"/>
        <n v="2530"/>
        <n v="4452"/>
        <n v="1143"/>
        <n v="120"/>
        <n v="2169"/>
        <n v="284"/>
        <n v="3470"/>
        <n v="2160"/>
        <n v="8060"/>
        <n v="1008"/>
        <n v="1883"/>
        <n v="1568"/>
        <n v="1000"/>
        <n v="1500"/>
        <n v="428"/>
        <n v="1638"/>
        <n v="7024"/>
        <n v="124"/>
        <n v="1431"/>
        <n v="2590"/>
        <n v="1281"/>
        <n v="840"/>
        <n v="2208"/>
        <n v="76"/>
        <n v="441"/>
        <n v="1646"/>
        <n v="745"/>
        <n v="5530"/>
        <n v="6720"/>
        <n v="382"/>
        <n v="920"/>
        <n v="228"/>
        <n v="2286"/>
        <n v="192"/>
        <n v="685"/>
        <n v="44"/>
        <n v="590"/>
        <n v="2336"/>
        <n v="210"/>
        <n v="3280"/>
        <n v="1356"/>
        <n v="1955"/>
        <n v="580"/>
        <n v="5130"/>
        <n v="1180"/>
        <n v="3296"/>
        <n v="715"/>
        <n v="1900"/>
        <n v="1881"/>
        <n v="7240"/>
        <n v="4680"/>
        <n v="1434"/>
        <n v="2673"/>
        <n v="3311"/>
        <n v="7192"/>
        <n v="497"/>
        <n v="684"/>
        <n v="1704"/>
        <n v="1628"/>
        <n v="2250"/>
        <n v="4860"/>
        <n v="505"/>
        <n v="1028"/>
        <n v="1800"/>
        <n v="390"/>
        <n v="1700"/>
        <n v="1956"/>
        <n v="1022"/>
        <n v="1757"/>
        <n v="1515"/>
        <n v="2772"/>
        <n v="460"/>
        <n v="6984"/>
        <n v="4952"/>
        <n v="2622"/>
        <n v="7281"/>
        <n v="1102"/>
        <n v="2172"/>
        <n v="1640"/>
        <n v="2334"/>
        <n v="378"/>
        <n v="1035"/>
        <n v="7767"/>
        <n v="1866"/>
        <n v="3753"/>
        <n v="747"/>
        <n v="7130"/>
        <n v="1960"/>
        <n v="482"/>
        <n v="400"/>
        <n v="891"/>
        <n v="2763"/>
        <n v="2046"/>
        <n v="1632"/>
        <n v="705"/>
        <n v="1448"/>
        <n v="1586"/>
        <n v="1108"/>
        <n v="2972"/>
        <n v="579"/>
        <n v="851"/>
        <n v="2240"/>
        <n v="2079"/>
        <n v="1528"/>
        <n v="2395"/>
        <n v="876"/>
        <n v="2465"/>
        <n v="1290"/>
        <n v="5957"/>
        <n v="3976"/>
        <n v="1444"/>
        <n v="996"/>
        <n v="450"/>
        <n v="1312"/>
        <n v="3460"/>
        <n v="2133"/>
        <n v="2628"/>
        <n v="2112"/>
        <n v="5033"/>
        <n v="1897"/>
        <n v="5019"/>
        <n v="725"/>
        <n v="5112"/>
        <n v="5940"/>
        <n v="2376"/>
        <n v="4744"/>
        <n v="5536"/>
        <n v="4056"/>
        <n v="681"/>
        <n v="2790"/>
        <n v="787"/>
        <n v="1230"/>
        <n v="296"/>
        <n v="139"/>
        <n v="1690"/>
        <n v="117"/>
        <n v="2597"/>
        <n v="1200"/>
        <n v="2244"/>
        <n v="798"/>
        <n v="3610"/>
        <n v="408"/>
        <n v="2016"/>
        <n v="1854"/>
        <n v="2768"/>
        <n v="818"/>
        <n v="324"/>
        <n v="2793"/>
        <n v="8900"/>
        <n v="2375"/>
        <n v="5640"/>
        <n v="5800"/>
        <n v="1631"/>
        <n v="2040"/>
        <n v="490"/>
        <n v="750"/>
        <n v="1452"/>
        <n v="3055"/>
        <n v="1272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00">
  <r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</r>
  <r>
    <x v="2"/>
    <x v="2"/>
    <x v="2"/>
    <x v="0"/>
    <x v="0"/>
    <x v="0"/>
    <x v="2"/>
    <x v="2"/>
    <x v="2"/>
  </r>
  <r>
    <x v="3"/>
    <x v="3"/>
    <x v="3"/>
    <x v="0"/>
    <x v="2"/>
    <x v="2"/>
    <x v="3"/>
    <x v="3"/>
    <x v="3"/>
  </r>
  <r>
    <x v="4"/>
    <x v="4"/>
    <x v="0"/>
    <x v="0"/>
    <x v="2"/>
    <x v="2"/>
    <x v="4"/>
    <x v="4"/>
    <x v="4"/>
  </r>
  <r>
    <x v="5"/>
    <x v="5"/>
    <x v="3"/>
    <x v="0"/>
    <x v="1"/>
    <x v="1"/>
    <x v="1"/>
    <x v="5"/>
    <x v="5"/>
  </r>
  <r>
    <x v="6"/>
    <x v="6"/>
    <x v="2"/>
    <x v="0"/>
    <x v="0"/>
    <x v="0"/>
    <x v="4"/>
    <x v="6"/>
    <x v="6"/>
  </r>
  <r>
    <x v="7"/>
    <x v="7"/>
    <x v="2"/>
    <x v="1"/>
    <x v="3"/>
    <x v="0"/>
    <x v="3"/>
    <x v="7"/>
    <x v="7"/>
  </r>
  <r>
    <x v="8"/>
    <x v="8"/>
    <x v="2"/>
    <x v="2"/>
    <x v="0"/>
    <x v="0"/>
    <x v="4"/>
    <x v="8"/>
    <x v="8"/>
  </r>
  <r>
    <x v="9"/>
    <x v="9"/>
    <x v="4"/>
    <x v="0"/>
    <x v="4"/>
    <x v="2"/>
    <x v="0"/>
    <x v="9"/>
    <x v="9"/>
  </r>
  <r>
    <x v="10"/>
    <x v="10"/>
    <x v="5"/>
    <x v="3"/>
    <x v="5"/>
    <x v="2"/>
    <x v="5"/>
    <x v="10"/>
    <x v="10"/>
  </r>
  <r>
    <x v="11"/>
    <x v="11"/>
    <x v="1"/>
    <x v="2"/>
    <x v="6"/>
    <x v="2"/>
    <x v="5"/>
    <x v="11"/>
    <x v="11"/>
  </r>
  <r>
    <x v="12"/>
    <x v="5"/>
    <x v="3"/>
    <x v="0"/>
    <x v="3"/>
    <x v="0"/>
    <x v="1"/>
    <x v="12"/>
    <x v="12"/>
  </r>
  <r>
    <x v="13"/>
    <x v="12"/>
    <x v="6"/>
    <x v="1"/>
    <x v="2"/>
    <x v="2"/>
    <x v="3"/>
    <x v="13"/>
    <x v="13"/>
  </r>
  <r>
    <x v="14"/>
    <x v="13"/>
    <x v="1"/>
    <x v="3"/>
    <x v="2"/>
    <x v="2"/>
    <x v="0"/>
    <x v="14"/>
    <x v="14"/>
  </r>
  <r>
    <x v="15"/>
    <x v="14"/>
    <x v="1"/>
    <x v="0"/>
    <x v="3"/>
    <x v="0"/>
    <x v="0"/>
    <x v="15"/>
    <x v="15"/>
  </r>
  <r>
    <x v="16"/>
    <x v="15"/>
    <x v="5"/>
    <x v="1"/>
    <x v="0"/>
    <x v="0"/>
    <x v="0"/>
    <x v="16"/>
    <x v="16"/>
  </r>
  <r>
    <x v="17"/>
    <x v="11"/>
    <x v="1"/>
    <x v="3"/>
    <x v="2"/>
    <x v="2"/>
    <x v="4"/>
    <x v="17"/>
    <x v="17"/>
  </r>
  <r>
    <x v="18"/>
    <x v="13"/>
    <x v="1"/>
    <x v="2"/>
    <x v="3"/>
    <x v="0"/>
    <x v="1"/>
    <x v="18"/>
    <x v="18"/>
  </r>
  <r>
    <x v="19"/>
    <x v="16"/>
    <x v="0"/>
    <x v="0"/>
    <x v="0"/>
    <x v="0"/>
    <x v="6"/>
    <x v="19"/>
    <x v="19"/>
  </r>
  <r>
    <x v="20"/>
    <x v="7"/>
    <x v="2"/>
    <x v="0"/>
    <x v="3"/>
    <x v="0"/>
    <x v="2"/>
    <x v="20"/>
    <x v="20"/>
  </r>
  <r>
    <x v="21"/>
    <x v="17"/>
    <x v="3"/>
    <x v="3"/>
    <x v="1"/>
    <x v="1"/>
    <x v="5"/>
    <x v="21"/>
    <x v="21"/>
  </r>
  <r>
    <x v="22"/>
    <x v="18"/>
    <x v="1"/>
    <x v="3"/>
    <x v="1"/>
    <x v="1"/>
    <x v="4"/>
    <x v="22"/>
    <x v="22"/>
  </r>
  <r>
    <x v="23"/>
    <x v="6"/>
    <x v="2"/>
    <x v="3"/>
    <x v="5"/>
    <x v="2"/>
    <x v="7"/>
    <x v="23"/>
    <x v="23"/>
  </r>
  <r>
    <x v="24"/>
    <x v="6"/>
    <x v="2"/>
    <x v="3"/>
    <x v="1"/>
    <x v="1"/>
    <x v="8"/>
    <x v="24"/>
    <x v="24"/>
  </r>
  <r>
    <x v="25"/>
    <x v="19"/>
    <x v="3"/>
    <x v="1"/>
    <x v="1"/>
    <x v="1"/>
    <x v="1"/>
    <x v="25"/>
    <x v="25"/>
  </r>
  <r>
    <x v="26"/>
    <x v="20"/>
    <x v="0"/>
    <x v="2"/>
    <x v="0"/>
    <x v="0"/>
    <x v="1"/>
    <x v="26"/>
    <x v="26"/>
  </r>
  <r>
    <x v="27"/>
    <x v="21"/>
    <x v="2"/>
    <x v="2"/>
    <x v="1"/>
    <x v="1"/>
    <x v="9"/>
    <x v="27"/>
    <x v="27"/>
  </r>
  <r>
    <x v="28"/>
    <x v="22"/>
    <x v="4"/>
    <x v="1"/>
    <x v="4"/>
    <x v="2"/>
    <x v="9"/>
    <x v="28"/>
    <x v="28"/>
  </r>
  <r>
    <x v="29"/>
    <x v="23"/>
    <x v="5"/>
    <x v="2"/>
    <x v="2"/>
    <x v="2"/>
    <x v="2"/>
    <x v="29"/>
    <x v="29"/>
  </r>
  <r>
    <x v="30"/>
    <x v="24"/>
    <x v="5"/>
    <x v="0"/>
    <x v="3"/>
    <x v="0"/>
    <x v="1"/>
    <x v="30"/>
    <x v="30"/>
  </r>
  <r>
    <x v="31"/>
    <x v="25"/>
    <x v="6"/>
    <x v="0"/>
    <x v="4"/>
    <x v="2"/>
    <x v="6"/>
    <x v="31"/>
    <x v="31"/>
  </r>
  <r>
    <x v="32"/>
    <x v="24"/>
    <x v="5"/>
    <x v="0"/>
    <x v="3"/>
    <x v="0"/>
    <x v="6"/>
    <x v="32"/>
    <x v="32"/>
  </r>
  <r>
    <x v="33"/>
    <x v="7"/>
    <x v="2"/>
    <x v="2"/>
    <x v="5"/>
    <x v="2"/>
    <x v="2"/>
    <x v="33"/>
    <x v="33"/>
  </r>
  <r>
    <x v="34"/>
    <x v="24"/>
    <x v="5"/>
    <x v="3"/>
    <x v="1"/>
    <x v="1"/>
    <x v="5"/>
    <x v="34"/>
    <x v="34"/>
  </r>
  <r>
    <x v="35"/>
    <x v="1"/>
    <x v="1"/>
    <x v="3"/>
    <x v="4"/>
    <x v="2"/>
    <x v="8"/>
    <x v="35"/>
    <x v="35"/>
  </r>
  <r>
    <x v="36"/>
    <x v="15"/>
    <x v="5"/>
    <x v="1"/>
    <x v="4"/>
    <x v="2"/>
    <x v="4"/>
    <x v="36"/>
    <x v="36"/>
  </r>
  <r>
    <x v="37"/>
    <x v="12"/>
    <x v="6"/>
    <x v="2"/>
    <x v="1"/>
    <x v="1"/>
    <x v="8"/>
    <x v="37"/>
    <x v="37"/>
  </r>
  <r>
    <x v="38"/>
    <x v="3"/>
    <x v="3"/>
    <x v="3"/>
    <x v="3"/>
    <x v="0"/>
    <x v="4"/>
    <x v="38"/>
    <x v="38"/>
  </r>
  <r>
    <x v="39"/>
    <x v="26"/>
    <x v="5"/>
    <x v="3"/>
    <x v="0"/>
    <x v="0"/>
    <x v="6"/>
    <x v="39"/>
    <x v="39"/>
  </r>
  <r>
    <x v="40"/>
    <x v="22"/>
    <x v="4"/>
    <x v="1"/>
    <x v="6"/>
    <x v="2"/>
    <x v="2"/>
    <x v="40"/>
    <x v="40"/>
  </r>
  <r>
    <x v="41"/>
    <x v="26"/>
    <x v="5"/>
    <x v="2"/>
    <x v="0"/>
    <x v="0"/>
    <x v="2"/>
    <x v="41"/>
    <x v="41"/>
  </r>
  <r>
    <x v="42"/>
    <x v="27"/>
    <x v="3"/>
    <x v="2"/>
    <x v="4"/>
    <x v="2"/>
    <x v="9"/>
    <x v="42"/>
    <x v="42"/>
  </r>
  <r>
    <x v="43"/>
    <x v="28"/>
    <x v="0"/>
    <x v="3"/>
    <x v="2"/>
    <x v="2"/>
    <x v="5"/>
    <x v="43"/>
    <x v="43"/>
  </r>
  <r>
    <x v="44"/>
    <x v="27"/>
    <x v="3"/>
    <x v="2"/>
    <x v="4"/>
    <x v="2"/>
    <x v="3"/>
    <x v="44"/>
    <x v="44"/>
  </r>
  <r>
    <x v="45"/>
    <x v="29"/>
    <x v="5"/>
    <x v="0"/>
    <x v="2"/>
    <x v="2"/>
    <x v="6"/>
    <x v="45"/>
    <x v="15"/>
  </r>
  <r>
    <x v="46"/>
    <x v="30"/>
    <x v="1"/>
    <x v="0"/>
    <x v="3"/>
    <x v="0"/>
    <x v="7"/>
    <x v="46"/>
    <x v="45"/>
  </r>
  <r>
    <x v="47"/>
    <x v="31"/>
    <x v="1"/>
    <x v="3"/>
    <x v="2"/>
    <x v="2"/>
    <x v="2"/>
    <x v="47"/>
    <x v="46"/>
  </r>
  <r>
    <x v="48"/>
    <x v="32"/>
    <x v="3"/>
    <x v="2"/>
    <x v="2"/>
    <x v="2"/>
    <x v="4"/>
    <x v="48"/>
    <x v="47"/>
  </r>
  <r>
    <x v="49"/>
    <x v="13"/>
    <x v="1"/>
    <x v="0"/>
    <x v="2"/>
    <x v="2"/>
    <x v="8"/>
    <x v="49"/>
    <x v="48"/>
  </r>
  <r>
    <x v="50"/>
    <x v="33"/>
    <x v="2"/>
    <x v="0"/>
    <x v="0"/>
    <x v="0"/>
    <x v="7"/>
    <x v="50"/>
    <x v="49"/>
  </r>
  <r>
    <x v="51"/>
    <x v="34"/>
    <x v="3"/>
    <x v="3"/>
    <x v="5"/>
    <x v="2"/>
    <x v="1"/>
    <x v="51"/>
    <x v="50"/>
  </r>
  <r>
    <x v="52"/>
    <x v="31"/>
    <x v="1"/>
    <x v="0"/>
    <x v="4"/>
    <x v="2"/>
    <x v="8"/>
    <x v="52"/>
    <x v="51"/>
  </r>
  <r>
    <x v="53"/>
    <x v="35"/>
    <x v="4"/>
    <x v="2"/>
    <x v="2"/>
    <x v="2"/>
    <x v="2"/>
    <x v="53"/>
    <x v="52"/>
  </r>
  <r>
    <x v="54"/>
    <x v="33"/>
    <x v="2"/>
    <x v="0"/>
    <x v="3"/>
    <x v="0"/>
    <x v="9"/>
    <x v="54"/>
    <x v="53"/>
  </r>
  <r>
    <x v="55"/>
    <x v="4"/>
    <x v="0"/>
    <x v="0"/>
    <x v="4"/>
    <x v="2"/>
    <x v="7"/>
    <x v="55"/>
    <x v="54"/>
  </r>
  <r>
    <x v="56"/>
    <x v="36"/>
    <x v="4"/>
    <x v="2"/>
    <x v="2"/>
    <x v="2"/>
    <x v="7"/>
    <x v="56"/>
    <x v="55"/>
  </r>
  <r>
    <x v="57"/>
    <x v="7"/>
    <x v="2"/>
    <x v="3"/>
    <x v="3"/>
    <x v="0"/>
    <x v="4"/>
    <x v="57"/>
    <x v="56"/>
  </r>
  <r>
    <x v="58"/>
    <x v="37"/>
    <x v="3"/>
    <x v="0"/>
    <x v="4"/>
    <x v="2"/>
    <x v="8"/>
    <x v="58"/>
    <x v="57"/>
  </r>
  <r>
    <x v="59"/>
    <x v="38"/>
    <x v="4"/>
    <x v="2"/>
    <x v="3"/>
    <x v="0"/>
    <x v="3"/>
    <x v="59"/>
    <x v="58"/>
  </r>
  <r>
    <x v="60"/>
    <x v="39"/>
    <x v="6"/>
    <x v="1"/>
    <x v="6"/>
    <x v="2"/>
    <x v="6"/>
    <x v="60"/>
    <x v="59"/>
  </r>
  <r>
    <x v="61"/>
    <x v="40"/>
    <x v="6"/>
    <x v="1"/>
    <x v="1"/>
    <x v="1"/>
    <x v="5"/>
    <x v="61"/>
    <x v="60"/>
  </r>
  <r>
    <x v="62"/>
    <x v="34"/>
    <x v="3"/>
    <x v="0"/>
    <x v="4"/>
    <x v="2"/>
    <x v="7"/>
    <x v="62"/>
    <x v="61"/>
  </r>
  <r>
    <x v="63"/>
    <x v="4"/>
    <x v="0"/>
    <x v="1"/>
    <x v="1"/>
    <x v="1"/>
    <x v="4"/>
    <x v="63"/>
    <x v="62"/>
  </r>
  <r>
    <x v="64"/>
    <x v="41"/>
    <x v="0"/>
    <x v="0"/>
    <x v="1"/>
    <x v="1"/>
    <x v="3"/>
    <x v="64"/>
    <x v="63"/>
  </r>
  <r>
    <x v="65"/>
    <x v="0"/>
    <x v="0"/>
    <x v="2"/>
    <x v="0"/>
    <x v="0"/>
    <x v="0"/>
    <x v="65"/>
    <x v="64"/>
  </r>
  <r>
    <x v="66"/>
    <x v="2"/>
    <x v="2"/>
    <x v="2"/>
    <x v="4"/>
    <x v="2"/>
    <x v="9"/>
    <x v="66"/>
    <x v="65"/>
  </r>
  <r>
    <x v="67"/>
    <x v="42"/>
    <x v="4"/>
    <x v="2"/>
    <x v="2"/>
    <x v="2"/>
    <x v="3"/>
    <x v="67"/>
    <x v="66"/>
  </r>
  <r>
    <x v="68"/>
    <x v="43"/>
    <x v="6"/>
    <x v="2"/>
    <x v="6"/>
    <x v="2"/>
    <x v="4"/>
    <x v="68"/>
    <x v="67"/>
  </r>
  <r>
    <x v="69"/>
    <x v="14"/>
    <x v="1"/>
    <x v="2"/>
    <x v="6"/>
    <x v="2"/>
    <x v="4"/>
    <x v="69"/>
    <x v="68"/>
  </r>
  <r>
    <x v="70"/>
    <x v="44"/>
    <x v="6"/>
    <x v="1"/>
    <x v="1"/>
    <x v="1"/>
    <x v="3"/>
    <x v="70"/>
    <x v="69"/>
  </r>
  <r>
    <x v="71"/>
    <x v="34"/>
    <x v="3"/>
    <x v="3"/>
    <x v="3"/>
    <x v="0"/>
    <x v="7"/>
    <x v="71"/>
    <x v="70"/>
  </r>
  <r>
    <x v="72"/>
    <x v="9"/>
    <x v="4"/>
    <x v="1"/>
    <x v="2"/>
    <x v="2"/>
    <x v="9"/>
    <x v="72"/>
    <x v="71"/>
  </r>
  <r>
    <x v="73"/>
    <x v="45"/>
    <x v="5"/>
    <x v="2"/>
    <x v="0"/>
    <x v="0"/>
    <x v="6"/>
    <x v="73"/>
    <x v="72"/>
  </r>
  <r>
    <x v="74"/>
    <x v="8"/>
    <x v="2"/>
    <x v="2"/>
    <x v="5"/>
    <x v="2"/>
    <x v="9"/>
    <x v="74"/>
    <x v="73"/>
  </r>
  <r>
    <x v="75"/>
    <x v="46"/>
    <x v="0"/>
    <x v="1"/>
    <x v="2"/>
    <x v="2"/>
    <x v="6"/>
    <x v="75"/>
    <x v="74"/>
  </r>
  <r>
    <x v="76"/>
    <x v="34"/>
    <x v="3"/>
    <x v="1"/>
    <x v="2"/>
    <x v="2"/>
    <x v="3"/>
    <x v="76"/>
    <x v="75"/>
  </r>
  <r>
    <x v="77"/>
    <x v="36"/>
    <x v="4"/>
    <x v="0"/>
    <x v="0"/>
    <x v="0"/>
    <x v="0"/>
    <x v="77"/>
    <x v="76"/>
  </r>
  <r>
    <x v="78"/>
    <x v="47"/>
    <x v="1"/>
    <x v="0"/>
    <x v="4"/>
    <x v="2"/>
    <x v="1"/>
    <x v="70"/>
    <x v="77"/>
  </r>
  <r>
    <x v="79"/>
    <x v="7"/>
    <x v="2"/>
    <x v="3"/>
    <x v="5"/>
    <x v="2"/>
    <x v="1"/>
    <x v="78"/>
    <x v="78"/>
  </r>
  <r>
    <x v="80"/>
    <x v="19"/>
    <x v="3"/>
    <x v="2"/>
    <x v="2"/>
    <x v="2"/>
    <x v="4"/>
    <x v="79"/>
    <x v="79"/>
  </r>
  <r>
    <x v="81"/>
    <x v="6"/>
    <x v="2"/>
    <x v="0"/>
    <x v="4"/>
    <x v="2"/>
    <x v="6"/>
    <x v="80"/>
    <x v="80"/>
  </r>
  <r>
    <x v="82"/>
    <x v="48"/>
    <x v="2"/>
    <x v="1"/>
    <x v="6"/>
    <x v="2"/>
    <x v="8"/>
    <x v="81"/>
    <x v="81"/>
  </r>
  <r>
    <x v="83"/>
    <x v="6"/>
    <x v="2"/>
    <x v="0"/>
    <x v="2"/>
    <x v="2"/>
    <x v="2"/>
    <x v="82"/>
    <x v="82"/>
  </r>
  <r>
    <x v="84"/>
    <x v="27"/>
    <x v="3"/>
    <x v="1"/>
    <x v="5"/>
    <x v="2"/>
    <x v="0"/>
    <x v="83"/>
    <x v="83"/>
  </r>
  <r>
    <x v="85"/>
    <x v="41"/>
    <x v="0"/>
    <x v="1"/>
    <x v="0"/>
    <x v="0"/>
    <x v="0"/>
    <x v="84"/>
    <x v="84"/>
  </r>
  <r>
    <x v="86"/>
    <x v="23"/>
    <x v="5"/>
    <x v="0"/>
    <x v="4"/>
    <x v="2"/>
    <x v="8"/>
    <x v="85"/>
    <x v="85"/>
  </r>
  <r>
    <x v="87"/>
    <x v="31"/>
    <x v="1"/>
    <x v="1"/>
    <x v="6"/>
    <x v="2"/>
    <x v="5"/>
    <x v="86"/>
    <x v="86"/>
  </r>
  <r>
    <x v="88"/>
    <x v="9"/>
    <x v="4"/>
    <x v="2"/>
    <x v="5"/>
    <x v="2"/>
    <x v="7"/>
    <x v="22"/>
    <x v="87"/>
  </r>
  <r>
    <x v="89"/>
    <x v="45"/>
    <x v="5"/>
    <x v="3"/>
    <x v="5"/>
    <x v="2"/>
    <x v="5"/>
    <x v="87"/>
    <x v="88"/>
  </r>
  <r>
    <x v="90"/>
    <x v="14"/>
    <x v="1"/>
    <x v="3"/>
    <x v="6"/>
    <x v="2"/>
    <x v="4"/>
    <x v="88"/>
    <x v="89"/>
  </r>
  <r>
    <x v="91"/>
    <x v="47"/>
    <x v="1"/>
    <x v="1"/>
    <x v="1"/>
    <x v="1"/>
    <x v="0"/>
    <x v="38"/>
    <x v="90"/>
  </r>
  <r>
    <x v="92"/>
    <x v="13"/>
    <x v="1"/>
    <x v="2"/>
    <x v="6"/>
    <x v="2"/>
    <x v="3"/>
    <x v="89"/>
    <x v="91"/>
  </r>
  <r>
    <x v="93"/>
    <x v="14"/>
    <x v="1"/>
    <x v="3"/>
    <x v="5"/>
    <x v="2"/>
    <x v="9"/>
    <x v="90"/>
    <x v="92"/>
  </r>
  <r>
    <x v="94"/>
    <x v="20"/>
    <x v="0"/>
    <x v="1"/>
    <x v="1"/>
    <x v="1"/>
    <x v="0"/>
    <x v="91"/>
    <x v="93"/>
  </r>
  <r>
    <x v="95"/>
    <x v="37"/>
    <x v="3"/>
    <x v="1"/>
    <x v="1"/>
    <x v="1"/>
    <x v="4"/>
    <x v="92"/>
    <x v="94"/>
  </r>
  <r>
    <x v="96"/>
    <x v="17"/>
    <x v="3"/>
    <x v="3"/>
    <x v="4"/>
    <x v="2"/>
    <x v="1"/>
    <x v="93"/>
    <x v="95"/>
  </r>
  <r>
    <x v="97"/>
    <x v="37"/>
    <x v="3"/>
    <x v="2"/>
    <x v="2"/>
    <x v="2"/>
    <x v="0"/>
    <x v="94"/>
    <x v="96"/>
  </r>
  <r>
    <x v="98"/>
    <x v="48"/>
    <x v="2"/>
    <x v="2"/>
    <x v="2"/>
    <x v="2"/>
    <x v="0"/>
    <x v="95"/>
    <x v="97"/>
  </r>
  <r>
    <x v="99"/>
    <x v="49"/>
    <x v="6"/>
    <x v="2"/>
    <x v="3"/>
    <x v="0"/>
    <x v="6"/>
    <x v="96"/>
    <x v="98"/>
  </r>
  <r>
    <x v="100"/>
    <x v="9"/>
    <x v="4"/>
    <x v="0"/>
    <x v="5"/>
    <x v="2"/>
    <x v="0"/>
    <x v="97"/>
    <x v="99"/>
  </r>
  <r>
    <x v="101"/>
    <x v="11"/>
    <x v="1"/>
    <x v="2"/>
    <x v="6"/>
    <x v="2"/>
    <x v="5"/>
    <x v="98"/>
    <x v="100"/>
  </r>
  <r>
    <x v="102"/>
    <x v="22"/>
    <x v="4"/>
    <x v="0"/>
    <x v="4"/>
    <x v="2"/>
    <x v="5"/>
    <x v="99"/>
    <x v="101"/>
  </r>
  <r>
    <x v="103"/>
    <x v="24"/>
    <x v="5"/>
    <x v="2"/>
    <x v="0"/>
    <x v="0"/>
    <x v="6"/>
    <x v="100"/>
    <x v="102"/>
  </r>
  <r>
    <x v="104"/>
    <x v="7"/>
    <x v="2"/>
    <x v="1"/>
    <x v="1"/>
    <x v="1"/>
    <x v="5"/>
    <x v="101"/>
    <x v="103"/>
  </r>
  <r>
    <x v="105"/>
    <x v="7"/>
    <x v="2"/>
    <x v="1"/>
    <x v="3"/>
    <x v="0"/>
    <x v="2"/>
    <x v="102"/>
    <x v="104"/>
  </r>
  <r>
    <x v="106"/>
    <x v="12"/>
    <x v="6"/>
    <x v="2"/>
    <x v="5"/>
    <x v="2"/>
    <x v="7"/>
    <x v="103"/>
    <x v="105"/>
  </r>
  <r>
    <x v="107"/>
    <x v="11"/>
    <x v="1"/>
    <x v="1"/>
    <x v="1"/>
    <x v="1"/>
    <x v="7"/>
    <x v="104"/>
    <x v="106"/>
  </r>
  <r>
    <x v="108"/>
    <x v="45"/>
    <x v="5"/>
    <x v="0"/>
    <x v="1"/>
    <x v="1"/>
    <x v="0"/>
    <x v="105"/>
    <x v="107"/>
  </r>
  <r>
    <x v="109"/>
    <x v="15"/>
    <x v="5"/>
    <x v="3"/>
    <x v="5"/>
    <x v="2"/>
    <x v="8"/>
    <x v="106"/>
    <x v="108"/>
  </r>
  <r>
    <x v="110"/>
    <x v="50"/>
    <x v="4"/>
    <x v="3"/>
    <x v="0"/>
    <x v="0"/>
    <x v="3"/>
    <x v="107"/>
    <x v="109"/>
  </r>
  <r>
    <x v="111"/>
    <x v="45"/>
    <x v="5"/>
    <x v="3"/>
    <x v="5"/>
    <x v="2"/>
    <x v="0"/>
    <x v="108"/>
    <x v="110"/>
  </r>
  <r>
    <x v="112"/>
    <x v="43"/>
    <x v="6"/>
    <x v="2"/>
    <x v="2"/>
    <x v="2"/>
    <x v="6"/>
    <x v="109"/>
    <x v="111"/>
  </r>
  <r>
    <x v="113"/>
    <x v="51"/>
    <x v="2"/>
    <x v="3"/>
    <x v="6"/>
    <x v="2"/>
    <x v="0"/>
    <x v="110"/>
    <x v="112"/>
  </r>
  <r>
    <x v="114"/>
    <x v="52"/>
    <x v="5"/>
    <x v="0"/>
    <x v="2"/>
    <x v="2"/>
    <x v="5"/>
    <x v="111"/>
    <x v="113"/>
  </r>
  <r>
    <x v="115"/>
    <x v="2"/>
    <x v="2"/>
    <x v="0"/>
    <x v="3"/>
    <x v="0"/>
    <x v="9"/>
    <x v="112"/>
    <x v="114"/>
  </r>
  <r>
    <x v="116"/>
    <x v="34"/>
    <x v="3"/>
    <x v="1"/>
    <x v="6"/>
    <x v="2"/>
    <x v="8"/>
    <x v="113"/>
    <x v="115"/>
  </r>
  <r>
    <x v="117"/>
    <x v="5"/>
    <x v="3"/>
    <x v="3"/>
    <x v="1"/>
    <x v="1"/>
    <x v="0"/>
    <x v="114"/>
    <x v="116"/>
  </r>
  <r>
    <x v="118"/>
    <x v="18"/>
    <x v="1"/>
    <x v="2"/>
    <x v="1"/>
    <x v="1"/>
    <x v="8"/>
    <x v="115"/>
    <x v="117"/>
  </r>
  <r>
    <x v="119"/>
    <x v="16"/>
    <x v="0"/>
    <x v="3"/>
    <x v="0"/>
    <x v="0"/>
    <x v="4"/>
    <x v="116"/>
    <x v="118"/>
  </r>
  <r>
    <x v="120"/>
    <x v="6"/>
    <x v="2"/>
    <x v="2"/>
    <x v="4"/>
    <x v="2"/>
    <x v="2"/>
    <x v="117"/>
    <x v="119"/>
  </r>
  <r>
    <x v="121"/>
    <x v="9"/>
    <x v="4"/>
    <x v="0"/>
    <x v="6"/>
    <x v="2"/>
    <x v="5"/>
    <x v="118"/>
    <x v="120"/>
  </r>
  <r>
    <x v="122"/>
    <x v="34"/>
    <x v="3"/>
    <x v="2"/>
    <x v="1"/>
    <x v="1"/>
    <x v="3"/>
    <x v="37"/>
    <x v="121"/>
  </r>
  <r>
    <x v="123"/>
    <x v="52"/>
    <x v="5"/>
    <x v="2"/>
    <x v="6"/>
    <x v="2"/>
    <x v="2"/>
    <x v="119"/>
    <x v="122"/>
  </r>
  <r>
    <x v="124"/>
    <x v="53"/>
    <x v="2"/>
    <x v="1"/>
    <x v="3"/>
    <x v="0"/>
    <x v="8"/>
    <x v="120"/>
    <x v="123"/>
  </r>
  <r>
    <x v="125"/>
    <x v="3"/>
    <x v="3"/>
    <x v="3"/>
    <x v="1"/>
    <x v="1"/>
    <x v="8"/>
    <x v="121"/>
    <x v="124"/>
  </r>
  <r>
    <x v="126"/>
    <x v="7"/>
    <x v="2"/>
    <x v="3"/>
    <x v="5"/>
    <x v="2"/>
    <x v="9"/>
    <x v="122"/>
    <x v="125"/>
  </r>
  <r>
    <x v="127"/>
    <x v="38"/>
    <x v="4"/>
    <x v="2"/>
    <x v="5"/>
    <x v="2"/>
    <x v="9"/>
    <x v="123"/>
    <x v="126"/>
  </r>
  <r>
    <x v="128"/>
    <x v="53"/>
    <x v="2"/>
    <x v="0"/>
    <x v="5"/>
    <x v="2"/>
    <x v="6"/>
    <x v="124"/>
    <x v="127"/>
  </r>
  <r>
    <x v="129"/>
    <x v="53"/>
    <x v="2"/>
    <x v="1"/>
    <x v="3"/>
    <x v="0"/>
    <x v="3"/>
    <x v="82"/>
    <x v="128"/>
  </r>
  <r>
    <x v="130"/>
    <x v="41"/>
    <x v="0"/>
    <x v="3"/>
    <x v="4"/>
    <x v="2"/>
    <x v="3"/>
    <x v="125"/>
    <x v="129"/>
  </r>
  <r>
    <x v="131"/>
    <x v="38"/>
    <x v="4"/>
    <x v="1"/>
    <x v="6"/>
    <x v="2"/>
    <x v="3"/>
    <x v="126"/>
    <x v="130"/>
  </r>
  <r>
    <x v="132"/>
    <x v="45"/>
    <x v="5"/>
    <x v="3"/>
    <x v="6"/>
    <x v="2"/>
    <x v="1"/>
    <x v="127"/>
    <x v="131"/>
  </r>
  <r>
    <x v="133"/>
    <x v="10"/>
    <x v="5"/>
    <x v="1"/>
    <x v="2"/>
    <x v="2"/>
    <x v="9"/>
    <x v="128"/>
    <x v="132"/>
  </r>
  <r>
    <x v="134"/>
    <x v="30"/>
    <x v="1"/>
    <x v="0"/>
    <x v="6"/>
    <x v="2"/>
    <x v="4"/>
    <x v="129"/>
    <x v="133"/>
  </r>
  <r>
    <x v="135"/>
    <x v="13"/>
    <x v="1"/>
    <x v="0"/>
    <x v="2"/>
    <x v="2"/>
    <x v="6"/>
    <x v="130"/>
    <x v="134"/>
  </r>
  <r>
    <x v="136"/>
    <x v="31"/>
    <x v="1"/>
    <x v="2"/>
    <x v="2"/>
    <x v="2"/>
    <x v="8"/>
    <x v="131"/>
    <x v="135"/>
  </r>
  <r>
    <x v="137"/>
    <x v="45"/>
    <x v="5"/>
    <x v="2"/>
    <x v="2"/>
    <x v="2"/>
    <x v="7"/>
    <x v="132"/>
    <x v="136"/>
  </r>
  <r>
    <x v="138"/>
    <x v="31"/>
    <x v="1"/>
    <x v="3"/>
    <x v="2"/>
    <x v="2"/>
    <x v="6"/>
    <x v="133"/>
    <x v="137"/>
  </r>
  <r>
    <x v="139"/>
    <x v="2"/>
    <x v="2"/>
    <x v="2"/>
    <x v="0"/>
    <x v="0"/>
    <x v="8"/>
    <x v="134"/>
    <x v="103"/>
  </r>
  <r>
    <x v="140"/>
    <x v="54"/>
    <x v="0"/>
    <x v="0"/>
    <x v="0"/>
    <x v="0"/>
    <x v="9"/>
    <x v="71"/>
    <x v="138"/>
  </r>
  <r>
    <x v="141"/>
    <x v="35"/>
    <x v="4"/>
    <x v="1"/>
    <x v="0"/>
    <x v="0"/>
    <x v="6"/>
    <x v="135"/>
    <x v="139"/>
  </r>
  <r>
    <x v="142"/>
    <x v="0"/>
    <x v="0"/>
    <x v="2"/>
    <x v="3"/>
    <x v="0"/>
    <x v="3"/>
    <x v="136"/>
    <x v="140"/>
  </r>
  <r>
    <x v="143"/>
    <x v="2"/>
    <x v="2"/>
    <x v="2"/>
    <x v="4"/>
    <x v="2"/>
    <x v="5"/>
    <x v="129"/>
    <x v="141"/>
  </r>
  <r>
    <x v="144"/>
    <x v="16"/>
    <x v="0"/>
    <x v="0"/>
    <x v="1"/>
    <x v="1"/>
    <x v="7"/>
    <x v="137"/>
    <x v="142"/>
  </r>
  <r>
    <x v="145"/>
    <x v="55"/>
    <x v="1"/>
    <x v="0"/>
    <x v="3"/>
    <x v="0"/>
    <x v="3"/>
    <x v="138"/>
    <x v="143"/>
  </r>
  <r>
    <x v="146"/>
    <x v="8"/>
    <x v="2"/>
    <x v="1"/>
    <x v="1"/>
    <x v="1"/>
    <x v="9"/>
    <x v="139"/>
    <x v="144"/>
  </r>
  <r>
    <x v="147"/>
    <x v="56"/>
    <x v="4"/>
    <x v="2"/>
    <x v="2"/>
    <x v="2"/>
    <x v="6"/>
    <x v="140"/>
    <x v="145"/>
  </r>
  <r>
    <x v="148"/>
    <x v="44"/>
    <x v="6"/>
    <x v="3"/>
    <x v="6"/>
    <x v="2"/>
    <x v="1"/>
    <x v="109"/>
    <x v="146"/>
  </r>
  <r>
    <x v="149"/>
    <x v="41"/>
    <x v="0"/>
    <x v="3"/>
    <x v="1"/>
    <x v="1"/>
    <x v="1"/>
    <x v="141"/>
    <x v="147"/>
  </r>
  <r>
    <x v="150"/>
    <x v="17"/>
    <x v="3"/>
    <x v="1"/>
    <x v="6"/>
    <x v="2"/>
    <x v="8"/>
    <x v="142"/>
    <x v="148"/>
  </r>
  <r>
    <x v="151"/>
    <x v="9"/>
    <x v="4"/>
    <x v="0"/>
    <x v="0"/>
    <x v="0"/>
    <x v="0"/>
    <x v="143"/>
    <x v="149"/>
  </r>
  <r>
    <x v="152"/>
    <x v="7"/>
    <x v="2"/>
    <x v="0"/>
    <x v="2"/>
    <x v="2"/>
    <x v="1"/>
    <x v="144"/>
    <x v="150"/>
  </r>
  <r>
    <x v="153"/>
    <x v="57"/>
    <x v="6"/>
    <x v="3"/>
    <x v="0"/>
    <x v="0"/>
    <x v="5"/>
    <x v="145"/>
    <x v="151"/>
  </r>
  <r>
    <x v="154"/>
    <x v="24"/>
    <x v="5"/>
    <x v="2"/>
    <x v="1"/>
    <x v="1"/>
    <x v="6"/>
    <x v="146"/>
    <x v="114"/>
  </r>
  <r>
    <x v="155"/>
    <x v="47"/>
    <x v="1"/>
    <x v="0"/>
    <x v="1"/>
    <x v="1"/>
    <x v="5"/>
    <x v="147"/>
    <x v="152"/>
  </r>
  <r>
    <x v="156"/>
    <x v="21"/>
    <x v="2"/>
    <x v="3"/>
    <x v="3"/>
    <x v="0"/>
    <x v="5"/>
    <x v="148"/>
    <x v="153"/>
  </r>
  <r>
    <x v="157"/>
    <x v="7"/>
    <x v="2"/>
    <x v="3"/>
    <x v="3"/>
    <x v="0"/>
    <x v="6"/>
    <x v="149"/>
    <x v="154"/>
  </r>
  <r>
    <x v="158"/>
    <x v="55"/>
    <x v="1"/>
    <x v="3"/>
    <x v="2"/>
    <x v="2"/>
    <x v="5"/>
    <x v="150"/>
    <x v="48"/>
  </r>
  <r>
    <x v="159"/>
    <x v="39"/>
    <x v="6"/>
    <x v="3"/>
    <x v="5"/>
    <x v="2"/>
    <x v="0"/>
    <x v="151"/>
    <x v="155"/>
  </r>
  <r>
    <x v="160"/>
    <x v="26"/>
    <x v="5"/>
    <x v="1"/>
    <x v="1"/>
    <x v="1"/>
    <x v="2"/>
    <x v="152"/>
    <x v="156"/>
  </r>
  <r>
    <x v="161"/>
    <x v="31"/>
    <x v="1"/>
    <x v="1"/>
    <x v="4"/>
    <x v="2"/>
    <x v="8"/>
    <x v="153"/>
    <x v="157"/>
  </r>
  <r>
    <x v="162"/>
    <x v="52"/>
    <x v="5"/>
    <x v="1"/>
    <x v="0"/>
    <x v="0"/>
    <x v="7"/>
    <x v="154"/>
    <x v="158"/>
  </r>
  <r>
    <x v="163"/>
    <x v="52"/>
    <x v="5"/>
    <x v="1"/>
    <x v="4"/>
    <x v="2"/>
    <x v="7"/>
    <x v="155"/>
    <x v="159"/>
  </r>
  <r>
    <x v="164"/>
    <x v="4"/>
    <x v="0"/>
    <x v="2"/>
    <x v="3"/>
    <x v="0"/>
    <x v="0"/>
    <x v="156"/>
    <x v="160"/>
  </r>
  <r>
    <x v="165"/>
    <x v="33"/>
    <x v="2"/>
    <x v="1"/>
    <x v="3"/>
    <x v="0"/>
    <x v="4"/>
    <x v="9"/>
    <x v="161"/>
  </r>
  <r>
    <x v="166"/>
    <x v="30"/>
    <x v="1"/>
    <x v="0"/>
    <x v="3"/>
    <x v="0"/>
    <x v="4"/>
    <x v="157"/>
    <x v="69"/>
  </r>
  <r>
    <x v="167"/>
    <x v="34"/>
    <x v="3"/>
    <x v="2"/>
    <x v="5"/>
    <x v="2"/>
    <x v="8"/>
    <x v="158"/>
    <x v="162"/>
  </r>
  <r>
    <x v="168"/>
    <x v="14"/>
    <x v="1"/>
    <x v="2"/>
    <x v="5"/>
    <x v="2"/>
    <x v="4"/>
    <x v="159"/>
    <x v="163"/>
  </r>
  <r>
    <x v="169"/>
    <x v="50"/>
    <x v="4"/>
    <x v="3"/>
    <x v="5"/>
    <x v="2"/>
    <x v="2"/>
    <x v="160"/>
    <x v="164"/>
  </r>
  <r>
    <x v="170"/>
    <x v="10"/>
    <x v="5"/>
    <x v="2"/>
    <x v="1"/>
    <x v="1"/>
    <x v="7"/>
    <x v="161"/>
    <x v="165"/>
  </r>
  <r>
    <x v="171"/>
    <x v="13"/>
    <x v="1"/>
    <x v="3"/>
    <x v="6"/>
    <x v="2"/>
    <x v="4"/>
    <x v="162"/>
    <x v="166"/>
  </r>
  <r>
    <x v="172"/>
    <x v="51"/>
    <x v="2"/>
    <x v="1"/>
    <x v="0"/>
    <x v="0"/>
    <x v="2"/>
    <x v="163"/>
    <x v="167"/>
  </r>
  <r>
    <x v="173"/>
    <x v="7"/>
    <x v="2"/>
    <x v="2"/>
    <x v="5"/>
    <x v="2"/>
    <x v="4"/>
    <x v="164"/>
    <x v="168"/>
  </r>
  <r>
    <x v="174"/>
    <x v="8"/>
    <x v="2"/>
    <x v="0"/>
    <x v="1"/>
    <x v="1"/>
    <x v="5"/>
    <x v="165"/>
    <x v="169"/>
  </r>
  <r>
    <x v="175"/>
    <x v="0"/>
    <x v="0"/>
    <x v="1"/>
    <x v="1"/>
    <x v="1"/>
    <x v="6"/>
    <x v="30"/>
    <x v="170"/>
  </r>
  <r>
    <x v="176"/>
    <x v="20"/>
    <x v="0"/>
    <x v="2"/>
    <x v="4"/>
    <x v="2"/>
    <x v="9"/>
    <x v="166"/>
    <x v="171"/>
  </r>
  <r>
    <x v="177"/>
    <x v="15"/>
    <x v="5"/>
    <x v="3"/>
    <x v="3"/>
    <x v="0"/>
    <x v="4"/>
    <x v="167"/>
    <x v="172"/>
  </r>
  <r>
    <x v="178"/>
    <x v="6"/>
    <x v="2"/>
    <x v="3"/>
    <x v="0"/>
    <x v="0"/>
    <x v="2"/>
    <x v="168"/>
    <x v="173"/>
  </r>
  <r>
    <x v="179"/>
    <x v="31"/>
    <x v="1"/>
    <x v="1"/>
    <x v="2"/>
    <x v="2"/>
    <x v="0"/>
    <x v="169"/>
    <x v="174"/>
  </r>
  <r>
    <x v="180"/>
    <x v="31"/>
    <x v="1"/>
    <x v="3"/>
    <x v="4"/>
    <x v="2"/>
    <x v="9"/>
    <x v="170"/>
    <x v="175"/>
  </r>
  <r>
    <x v="181"/>
    <x v="5"/>
    <x v="3"/>
    <x v="2"/>
    <x v="3"/>
    <x v="0"/>
    <x v="0"/>
    <x v="171"/>
    <x v="176"/>
  </r>
  <r>
    <x v="182"/>
    <x v="25"/>
    <x v="6"/>
    <x v="3"/>
    <x v="6"/>
    <x v="2"/>
    <x v="7"/>
    <x v="172"/>
    <x v="177"/>
  </r>
  <r>
    <x v="183"/>
    <x v="48"/>
    <x v="2"/>
    <x v="3"/>
    <x v="6"/>
    <x v="2"/>
    <x v="3"/>
    <x v="173"/>
    <x v="122"/>
  </r>
  <r>
    <x v="184"/>
    <x v="29"/>
    <x v="5"/>
    <x v="2"/>
    <x v="4"/>
    <x v="2"/>
    <x v="4"/>
    <x v="174"/>
    <x v="178"/>
  </r>
  <r>
    <x v="185"/>
    <x v="58"/>
    <x v="5"/>
    <x v="2"/>
    <x v="1"/>
    <x v="1"/>
    <x v="1"/>
    <x v="175"/>
    <x v="179"/>
  </r>
  <r>
    <x v="186"/>
    <x v="59"/>
    <x v="3"/>
    <x v="2"/>
    <x v="6"/>
    <x v="2"/>
    <x v="5"/>
    <x v="176"/>
    <x v="180"/>
  </r>
  <r>
    <x v="187"/>
    <x v="15"/>
    <x v="5"/>
    <x v="1"/>
    <x v="1"/>
    <x v="1"/>
    <x v="2"/>
    <x v="1"/>
    <x v="181"/>
  </r>
  <r>
    <x v="188"/>
    <x v="39"/>
    <x v="6"/>
    <x v="1"/>
    <x v="2"/>
    <x v="2"/>
    <x v="6"/>
    <x v="177"/>
    <x v="182"/>
  </r>
  <r>
    <x v="189"/>
    <x v="43"/>
    <x v="6"/>
    <x v="3"/>
    <x v="2"/>
    <x v="2"/>
    <x v="2"/>
    <x v="178"/>
    <x v="183"/>
  </r>
  <r>
    <x v="190"/>
    <x v="2"/>
    <x v="2"/>
    <x v="2"/>
    <x v="4"/>
    <x v="2"/>
    <x v="2"/>
    <x v="179"/>
    <x v="184"/>
  </r>
  <r>
    <x v="191"/>
    <x v="12"/>
    <x v="6"/>
    <x v="3"/>
    <x v="6"/>
    <x v="2"/>
    <x v="1"/>
    <x v="180"/>
    <x v="103"/>
  </r>
  <r>
    <x v="192"/>
    <x v="30"/>
    <x v="1"/>
    <x v="2"/>
    <x v="0"/>
    <x v="0"/>
    <x v="5"/>
    <x v="181"/>
    <x v="185"/>
  </r>
  <r>
    <x v="193"/>
    <x v="27"/>
    <x v="3"/>
    <x v="0"/>
    <x v="5"/>
    <x v="2"/>
    <x v="3"/>
    <x v="182"/>
    <x v="29"/>
  </r>
  <r>
    <x v="194"/>
    <x v="31"/>
    <x v="1"/>
    <x v="3"/>
    <x v="5"/>
    <x v="2"/>
    <x v="6"/>
    <x v="183"/>
    <x v="186"/>
  </r>
  <r>
    <x v="195"/>
    <x v="11"/>
    <x v="1"/>
    <x v="3"/>
    <x v="6"/>
    <x v="2"/>
    <x v="2"/>
    <x v="58"/>
    <x v="187"/>
  </r>
  <r>
    <x v="196"/>
    <x v="18"/>
    <x v="1"/>
    <x v="0"/>
    <x v="3"/>
    <x v="0"/>
    <x v="0"/>
    <x v="46"/>
    <x v="188"/>
  </r>
  <r>
    <x v="197"/>
    <x v="16"/>
    <x v="0"/>
    <x v="0"/>
    <x v="0"/>
    <x v="0"/>
    <x v="1"/>
    <x v="184"/>
    <x v="189"/>
  </r>
  <r>
    <x v="198"/>
    <x v="6"/>
    <x v="2"/>
    <x v="1"/>
    <x v="3"/>
    <x v="0"/>
    <x v="6"/>
    <x v="185"/>
    <x v="190"/>
  </r>
  <r>
    <x v="199"/>
    <x v="47"/>
    <x v="1"/>
    <x v="2"/>
    <x v="5"/>
    <x v="2"/>
    <x v="3"/>
    <x v="34"/>
    <x v="19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3:B8" firstHeaderRow="1" firstDataRow="1" firstDataCol="1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numFmtId="17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79" showAl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dataField="1" compact="0" numFmtId="179" showAll="0">
      <items count="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Total Price" fld="8" baseField="0" baseItem="0"/>
  </dataFields>
  <pivotTableStyleInfo name="PivotStylePreset2_Accent2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2">
  <location ref="A10:B14" firstHeaderRow="1" firstDataRow="1" firstDataCol="1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numFmtId="17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axis="axisRow" compact="0" showAll="0">
      <items count="4">
        <item x="2"/>
        <item x="1"/>
        <item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79" showAl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dataField="1" compact="0" numFmtId="179" showAll="0">
      <items count="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</pivotFields>
  <rowFields count="1">
    <field x="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Total Price" fld="8" baseField="0" baseItem="0"/>
  </dataFields>
  <pivotTableStyleInfo name="PivotStylePreset2_Accent2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7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6:B24" firstHeaderRow="1" firstDataRow="1" firstDataCol="1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numFmtId="17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compact="0" sortType="descending" showAll="0">
      <items count="8">
        <item x="0"/>
        <item x="1"/>
        <item x="2"/>
        <item x="3"/>
        <item x="4"/>
        <item x="5"/>
        <item x="6"/>
        <item t="default"/>
      </items>
      <autoSortScope>
        <pivotArea fieldPosition="0">
          <references count="1">
            <reference field="4294967294" count="1" selected="0">
              <x v="0"/>
            </reference>
          </references>
        </pivotArea>
      </autoSortScope>
    </pivotField>
    <pivotField compact="0" showAll="0">
      <items count="4">
        <item x="2"/>
        <item x="1"/>
        <item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79" showAl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dataField="1" compact="0" numFmtId="179" showAll="0">
      <items count="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</pivotFields>
  <rowFields count="1">
    <field x="4"/>
  </rowFields>
  <rowItems count="8">
    <i>
      <x v="1"/>
    </i>
    <i>
      <x/>
    </i>
    <i>
      <x v="5"/>
    </i>
    <i>
      <x v="4"/>
    </i>
    <i>
      <x v="2"/>
    </i>
    <i>
      <x v="3"/>
    </i>
    <i>
      <x v="6"/>
    </i>
    <i t="grand">
      <x/>
    </i>
  </rowItems>
  <colItems count="1">
    <i/>
  </colItems>
  <dataFields count="1">
    <dataField name="Sum of Total Price" fld="8" baseField="0" baseItem="0"/>
  </dataFields>
  <pivotTableStyleInfo name="PivotStylePreset2_Accent2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8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26:B32" firstHeaderRow="1" firstDataRow="1" firstDataCol="1"/>
  <pivotFields count="9">
    <pivotField compact="0" showAll="0">
      <items count="2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t="default"/>
      </items>
    </pivotField>
    <pivotField compact="0" numFmtId="178" showAl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5">
        <item x="2"/>
        <item x="1"/>
        <item x="0"/>
        <item x="3"/>
        <item t="default"/>
      </items>
    </pivotField>
    <pivotField axis="axisRow" measureFilter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compact="0" showAll="0">
      <items count="4">
        <item x="2"/>
        <item x="1"/>
        <item x="0"/>
        <item t="default"/>
      </items>
    </pivotField>
    <pivotField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numFmtId="179" showAll="0">
      <items count="18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t="default"/>
      </items>
    </pivotField>
    <pivotField dataField="1" compact="0" numFmtId="179" showAll="0">
      <items count="19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t="default"/>
      </items>
    </pivotField>
  </pivotFields>
  <rowFields count="1">
    <field x="4"/>
  </rowFields>
  <rowItems count="6">
    <i>
      <x/>
    </i>
    <i>
      <x v="1"/>
    </i>
    <i>
      <x v="2"/>
    </i>
    <i>
      <x v="4"/>
    </i>
    <i>
      <x v="5"/>
    </i>
    <i t="grand">
      <x/>
    </i>
  </rowItems>
  <colItems count="1">
    <i/>
  </colItems>
  <dataFields count="1">
    <dataField name="Sum of Total Price" fld="8" baseField="0" baseItem="0"/>
  </dataFields>
  <pivotTableStyleInfo name="PivotStylePreset2_Accent2" showRowHeaders="1" showColHeaders="1"/>
  <filters count="1">
    <filter evalOrder="-1" fld="4" iMeasureFld="0" id="1" type="count">
      <autoFilter ref="A1">
        <filterColumn colId="0">
          <top10 filterVal="5" val="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Region" sourceName="Region">
  <pivotTables>
    <pivotTable tabId="5" name="PivotTable4"/>
  </pivotTables>
  <data>
    <tabular pivotCacheId="1">
      <items count="4">
        <i x="2" s="1"/>
        <i x="1" s="1"/>
        <i x="0" s="1"/>
        <i x="3" s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roduct" sourceName="Product">
  <pivotTables>
    <pivotTable tabId="5" name="PivotTable7"/>
  </pivotTables>
  <data>
    <tabular pivotCacheId="1">
      <items count="7">
        <i x="1" s="1"/>
        <i x="4" s="1"/>
        <i x="2" s="1"/>
        <i x="6" s="1"/>
        <i x="5" s="1"/>
        <i x="0" s="1"/>
        <i x="3" s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Category" sourceName="Category">
  <pivotTables>
    <pivotTable tabId="5" name="PivotTable5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Region" cache="Slicer_Region" caption="Region" style="SlicerStyleLight2" rowHeight="225425"/>
  <slicer name="Product" cache="Slicer_Product" caption="Product" style="SlicerStyleLight2" rowHeight="225425"/>
  <slicer name="Category" cache="Slicer_Category" caption="Category" style="SlicerStyleLight2" rowHeight="225425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6" Type="http://schemas.microsoft.com/office/2007/relationships/slicer" Target="../slicers/slicer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00"/>
  <sheetViews>
    <sheetView topLeftCell="A13" workbookViewId="0">
      <selection activeCell="E18" sqref="E18"/>
    </sheetView>
  </sheetViews>
  <sheetFormatPr defaultColWidth="14.4272727272727" defaultRowHeight="15" customHeight="1"/>
  <cols>
    <col min="1" max="1" width="92.5727272727273" customWidth="1"/>
    <col min="2" max="11" width="8.70909090909091" customWidth="1"/>
  </cols>
  <sheetData>
    <row r="1" ht="14.25" customHeight="1" spans="1:1">
      <c r="A1" s="31" t="s">
        <v>0</v>
      </c>
    </row>
    <row r="2" ht="14.25" customHeight="1"/>
    <row r="3" ht="14.25" customHeight="1" spans="1:1">
      <c r="A3" s="32" t="s">
        <v>1</v>
      </c>
    </row>
    <row r="4" ht="14.25" customHeight="1" spans="1:1">
      <c r="A4" t="s">
        <v>2</v>
      </c>
    </row>
    <row r="5" ht="14.25" customHeight="1" spans="1:1">
      <c r="A5" t="s">
        <v>3</v>
      </c>
    </row>
    <row r="6" ht="14.25" customHeight="1"/>
    <row r="7" ht="14.25" customHeight="1" spans="1:1">
      <c r="A7" s="32" t="s">
        <v>4</v>
      </c>
    </row>
    <row r="8" ht="14.25" customHeight="1" spans="1:1">
      <c r="A8" t="s">
        <v>5</v>
      </c>
    </row>
    <row r="9" ht="14.25" customHeight="1" spans="1:1">
      <c r="A9" t="s">
        <v>6</v>
      </c>
    </row>
    <row r="10" ht="14.25" customHeight="1"/>
    <row r="11" ht="14.25" customHeight="1" spans="1:1">
      <c r="A11" s="32" t="s">
        <v>7</v>
      </c>
    </row>
    <row r="12" ht="14.25" customHeight="1" spans="1:1">
      <c r="A12" t="s">
        <v>8</v>
      </c>
    </row>
    <row r="13" ht="14.25" customHeight="1" spans="1:1">
      <c r="A13" t="s">
        <v>9</v>
      </c>
    </row>
    <row r="14" ht="14.25" customHeight="1" spans="1:1">
      <c r="A14" t="s">
        <v>10</v>
      </c>
    </row>
    <row r="15" ht="14.25" customHeight="1" spans="1:1">
      <c r="A15" t="s">
        <v>11</v>
      </c>
    </row>
    <row r="16" ht="14.25" customHeight="1" spans="1:1">
      <c r="A16" t="s">
        <v>12</v>
      </c>
    </row>
    <row r="17" ht="14.25" customHeight="1" spans="1:1">
      <c r="A17" t="s">
        <v>13</v>
      </c>
    </row>
    <row r="18" ht="14.25" customHeight="1" spans="1:1">
      <c r="A18" t="s">
        <v>14</v>
      </c>
    </row>
    <row r="19" ht="14.25" customHeight="1"/>
    <row r="20" ht="14.25" customHeight="1" spans="1:1">
      <c r="A20" s="32" t="s">
        <v>15</v>
      </c>
    </row>
    <row r="21" ht="14.25" customHeight="1" spans="1:1">
      <c r="A21" t="s">
        <v>16</v>
      </c>
    </row>
    <row r="22" ht="14.25" customHeight="1" spans="1:1">
      <c r="A22" t="s">
        <v>17</v>
      </c>
    </row>
    <row r="23" ht="14.25" customHeight="1" spans="1:1">
      <c r="A23" t="s">
        <v>18</v>
      </c>
    </row>
    <row r="24" ht="14.25" customHeight="1" spans="1:1">
      <c r="A24" t="s">
        <v>19</v>
      </c>
    </row>
    <row r="25" ht="14.25" customHeight="1"/>
    <row r="26" ht="14.25" customHeight="1" spans="1:1">
      <c r="A26" s="32" t="s">
        <v>20</v>
      </c>
    </row>
    <row r="27" ht="14.25" customHeight="1" spans="1:1">
      <c r="A27" t="s">
        <v>21</v>
      </c>
    </row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5" right="0.75" top="1" bottom="1" header="0" footer="0"/>
  <pageSetup paperSize="1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01"/>
  <sheetViews>
    <sheetView topLeftCell="A6" workbookViewId="0">
      <selection activeCell="K16" sqref="K16"/>
    </sheetView>
  </sheetViews>
  <sheetFormatPr defaultColWidth="14.4272727272727" defaultRowHeight="15" customHeight="1"/>
  <cols>
    <col min="1" max="1" width="8.86363636363636" customWidth="1"/>
    <col min="2" max="2" width="16.1818181818182" style="1" customWidth="1"/>
    <col min="3" max="3" width="15.1818181818182" customWidth="1"/>
    <col min="4" max="4" width="11.3636363636364" customWidth="1"/>
    <col min="5" max="5" width="11.2727272727273" customWidth="1"/>
    <col min="6" max="6" width="10.5454545454545" customWidth="1"/>
    <col min="7" max="7" width="8.86363636363636" customWidth="1"/>
    <col min="8" max="8" width="11.3636363636364" style="2" customWidth="1"/>
    <col min="9" max="9" width="11.3636363636364" customWidth="1"/>
    <col min="10" max="10" width="8.70909090909091" customWidth="1"/>
    <col min="11" max="11" width="19.1818181818182" customWidth="1"/>
    <col min="12" max="13" width="8.70909090909091" customWidth="1"/>
  </cols>
  <sheetData>
    <row r="1" ht="20" customHeight="1" spans="1:11">
      <c r="A1" s="3" t="s">
        <v>22</v>
      </c>
      <c r="B1" s="4" t="s">
        <v>23</v>
      </c>
      <c r="C1" s="5" t="s">
        <v>24</v>
      </c>
      <c r="D1" s="5" t="s">
        <v>25</v>
      </c>
      <c r="E1" s="5" t="s">
        <v>26</v>
      </c>
      <c r="F1" s="5" t="s">
        <v>27</v>
      </c>
      <c r="G1" s="5" t="s">
        <v>28</v>
      </c>
      <c r="H1" s="6" t="s">
        <v>29</v>
      </c>
      <c r="I1" s="19" t="s">
        <v>30</v>
      </c>
      <c r="K1" s="20" t="s">
        <v>31</v>
      </c>
    </row>
    <row r="2" ht="14.25" customHeight="1" spans="1:11">
      <c r="A2" s="7" t="s">
        <v>32</v>
      </c>
      <c r="B2" s="8">
        <v>45685</v>
      </c>
      <c r="C2" s="9" t="str">
        <f>TEXT(B2,"DDDD")</f>
        <v>Tuesday</v>
      </c>
      <c r="D2" s="9" t="s">
        <v>33</v>
      </c>
      <c r="E2" s="9" t="s">
        <v>34</v>
      </c>
      <c r="F2" s="9" t="s">
        <v>35</v>
      </c>
      <c r="G2" s="9">
        <v>6</v>
      </c>
      <c r="H2" s="10">
        <v>142</v>
      </c>
      <c r="I2" s="21">
        <f>G2*H2</f>
        <v>852</v>
      </c>
      <c r="K2" s="22">
        <f>SUM(I2:I201)</f>
        <v>446786</v>
      </c>
    </row>
    <row r="3" ht="14.25" customHeight="1" spans="1:9">
      <c r="A3" s="11" t="s">
        <v>36</v>
      </c>
      <c r="B3" s="12">
        <v>45686</v>
      </c>
      <c r="C3" s="13" t="str">
        <f t="shared" ref="C3:C34" si="0">TEXT(B3,"DDDD")</f>
        <v>Wednesday</v>
      </c>
      <c r="D3" s="13" t="s">
        <v>37</v>
      </c>
      <c r="E3" s="13" t="s">
        <v>38</v>
      </c>
      <c r="F3" s="13" t="s">
        <v>39</v>
      </c>
      <c r="G3" s="13">
        <v>4</v>
      </c>
      <c r="H3" s="14">
        <v>890</v>
      </c>
      <c r="I3" s="23">
        <f>G3*H3</f>
        <v>3560</v>
      </c>
    </row>
    <row r="4" ht="14.25" customHeight="1" spans="1:9">
      <c r="A4" s="15" t="s">
        <v>40</v>
      </c>
      <c r="B4" s="16">
        <v>45701</v>
      </c>
      <c r="C4" s="17" t="str">
        <f t="shared" si="0"/>
        <v>Thursday</v>
      </c>
      <c r="D4" s="17" t="s">
        <v>33</v>
      </c>
      <c r="E4" s="17" t="s">
        <v>34</v>
      </c>
      <c r="F4" s="17" t="s">
        <v>35</v>
      </c>
      <c r="G4" s="17">
        <v>10</v>
      </c>
      <c r="H4" s="18">
        <v>786</v>
      </c>
      <c r="I4" s="24">
        <f>G4*H4</f>
        <v>7860</v>
      </c>
    </row>
    <row r="5" ht="14.25" customHeight="1" spans="1:11">
      <c r="A5" s="11" t="s">
        <v>41</v>
      </c>
      <c r="B5" s="12">
        <v>45662</v>
      </c>
      <c r="C5" s="13" t="str">
        <f t="shared" si="0"/>
        <v>Sunday</v>
      </c>
      <c r="D5" s="13" t="s">
        <v>33</v>
      </c>
      <c r="E5" s="13" t="s">
        <v>42</v>
      </c>
      <c r="F5" s="13" t="s">
        <v>43</v>
      </c>
      <c r="G5" s="13">
        <v>2</v>
      </c>
      <c r="H5" s="14">
        <v>20</v>
      </c>
      <c r="I5" s="23">
        <f>G5*H5</f>
        <v>40</v>
      </c>
      <c r="K5" s="20" t="s">
        <v>44</v>
      </c>
    </row>
    <row r="6" ht="14.25" customHeight="1" spans="1:11">
      <c r="A6" s="15" t="s">
        <v>45</v>
      </c>
      <c r="B6" s="16">
        <v>45692</v>
      </c>
      <c r="C6" s="17" t="str">
        <f t="shared" si="0"/>
        <v>Tuesday</v>
      </c>
      <c r="D6" s="17" t="s">
        <v>33</v>
      </c>
      <c r="E6" s="17" t="s">
        <v>42</v>
      </c>
      <c r="F6" s="17" t="s">
        <v>43</v>
      </c>
      <c r="G6" s="17">
        <v>1</v>
      </c>
      <c r="H6" s="18">
        <v>74</v>
      </c>
      <c r="I6" s="24">
        <f>G6*H6</f>
        <v>74</v>
      </c>
      <c r="K6" s="25">
        <f>COUNT(G2:G201)</f>
        <v>200</v>
      </c>
    </row>
    <row r="7" ht="14.25" customHeight="1" spans="1:9">
      <c r="A7" s="11" t="s">
        <v>46</v>
      </c>
      <c r="B7" s="12">
        <v>45711</v>
      </c>
      <c r="C7" s="13" t="str">
        <f t="shared" si="0"/>
        <v>Sunday</v>
      </c>
      <c r="D7" s="13" t="s">
        <v>33</v>
      </c>
      <c r="E7" s="13" t="s">
        <v>38</v>
      </c>
      <c r="F7" s="13" t="s">
        <v>39</v>
      </c>
      <c r="G7" s="13">
        <v>4</v>
      </c>
      <c r="H7" s="14">
        <v>486</v>
      </c>
      <c r="I7" s="23">
        <f t="shared" ref="I7:I38" si="1">G7*H7</f>
        <v>1944</v>
      </c>
    </row>
    <row r="8" ht="14.25" customHeight="1" spans="1:9">
      <c r="A8" s="15" t="s">
        <v>47</v>
      </c>
      <c r="B8" s="16">
        <v>45680</v>
      </c>
      <c r="C8" s="17" t="str">
        <f t="shared" si="0"/>
        <v>Thursday</v>
      </c>
      <c r="D8" s="17" t="s">
        <v>33</v>
      </c>
      <c r="E8" s="17" t="s">
        <v>34</v>
      </c>
      <c r="F8" s="17" t="s">
        <v>35</v>
      </c>
      <c r="G8" s="17">
        <v>1</v>
      </c>
      <c r="H8" s="18">
        <v>560</v>
      </c>
      <c r="I8" s="24">
        <f t="shared" si="1"/>
        <v>560</v>
      </c>
    </row>
    <row r="9" ht="14.25" customHeight="1" spans="1:11">
      <c r="A9" s="11" t="s">
        <v>48</v>
      </c>
      <c r="B9" s="12">
        <v>45715</v>
      </c>
      <c r="C9" s="13" t="str">
        <f t="shared" si="0"/>
        <v>Thursday</v>
      </c>
      <c r="D9" s="13" t="s">
        <v>37</v>
      </c>
      <c r="E9" s="13" t="s">
        <v>49</v>
      </c>
      <c r="F9" s="13" t="s">
        <v>35</v>
      </c>
      <c r="G9" s="13">
        <v>2</v>
      </c>
      <c r="H9" s="14">
        <v>737</v>
      </c>
      <c r="I9" s="23">
        <f t="shared" si="1"/>
        <v>1474</v>
      </c>
      <c r="K9" s="20" t="s">
        <v>50</v>
      </c>
    </row>
    <row r="10" ht="14.25" customHeight="1" spans="1:11">
      <c r="A10" s="15" t="s">
        <v>51</v>
      </c>
      <c r="B10" s="16">
        <v>45659</v>
      </c>
      <c r="C10" s="17" t="str">
        <f t="shared" si="0"/>
        <v>Thursday</v>
      </c>
      <c r="D10" s="17" t="s">
        <v>52</v>
      </c>
      <c r="E10" s="17" t="s">
        <v>34</v>
      </c>
      <c r="F10" s="17" t="s">
        <v>35</v>
      </c>
      <c r="G10" s="17">
        <v>1</v>
      </c>
      <c r="H10" s="18">
        <v>647</v>
      </c>
      <c r="I10" s="24">
        <f t="shared" si="1"/>
        <v>647</v>
      </c>
      <c r="K10" s="25">
        <f>AVERAGE(K2:K6)</f>
        <v>223493</v>
      </c>
    </row>
    <row r="11" ht="14.25" customHeight="1" spans="1:9">
      <c r="A11" s="11" t="s">
        <v>53</v>
      </c>
      <c r="B11" s="12">
        <v>45702</v>
      </c>
      <c r="C11" s="13" t="str">
        <f t="shared" si="0"/>
        <v>Friday</v>
      </c>
      <c r="D11" s="13" t="s">
        <v>33</v>
      </c>
      <c r="E11" s="13" t="s">
        <v>54</v>
      </c>
      <c r="F11" s="13" t="s">
        <v>43</v>
      </c>
      <c r="G11" s="13">
        <v>6</v>
      </c>
      <c r="H11" s="14">
        <v>681</v>
      </c>
      <c r="I11" s="23">
        <f t="shared" si="1"/>
        <v>4086</v>
      </c>
    </row>
    <row r="12" ht="14.25" customHeight="1" spans="1:9">
      <c r="A12" s="15" t="s">
        <v>55</v>
      </c>
      <c r="B12" s="16">
        <v>45703</v>
      </c>
      <c r="C12" s="17" t="str">
        <f t="shared" si="0"/>
        <v>Saturday</v>
      </c>
      <c r="D12" s="17" t="s">
        <v>56</v>
      </c>
      <c r="E12" s="17" t="s">
        <v>57</v>
      </c>
      <c r="F12" s="17" t="s">
        <v>43</v>
      </c>
      <c r="G12" s="17">
        <v>7</v>
      </c>
      <c r="H12" s="18">
        <v>429</v>
      </c>
      <c r="I12" s="24">
        <f t="shared" si="1"/>
        <v>3003</v>
      </c>
    </row>
    <row r="13" ht="14.25" customHeight="1" spans="1:9">
      <c r="A13" s="11" t="s">
        <v>58</v>
      </c>
      <c r="B13" s="12">
        <v>45679</v>
      </c>
      <c r="C13" s="13" t="str">
        <f t="shared" si="0"/>
        <v>Wednesday</v>
      </c>
      <c r="D13" s="13" t="s">
        <v>52</v>
      </c>
      <c r="E13" s="13" t="s">
        <v>59</v>
      </c>
      <c r="F13" s="13" t="s">
        <v>43</v>
      </c>
      <c r="G13" s="13">
        <v>7</v>
      </c>
      <c r="H13" s="14">
        <v>194</v>
      </c>
      <c r="I13" s="23">
        <f t="shared" si="1"/>
        <v>1358</v>
      </c>
    </row>
    <row r="14" ht="14.25" customHeight="1" spans="1:9">
      <c r="A14" s="15" t="s">
        <v>60</v>
      </c>
      <c r="B14" s="16">
        <v>45711</v>
      </c>
      <c r="C14" s="17" t="str">
        <f t="shared" si="0"/>
        <v>Sunday</v>
      </c>
      <c r="D14" s="17" t="s">
        <v>33</v>
      </c>
      <c r="E14" s="17" t="s">
        <v>49</v>
      </c>
      <c r="F14" s="17" t="s">
        <v>35</v>
      </c>
      <c r="G14" s="17">
        <v>4</v>
      </c>
      <c r="H14" s="18">
        <v>503</v>
      </c>
      <c r="I14" s="24">
        <f t="shared" si="1"/>
        <v>2012</v>
      </c>
    </row>
    <row r="15" ht="14.25" customHeight="1" spans="1:9">
      <c r="A15" s="11" t="s">
        <v>61</v>
      </c>
      <c r="B15" s="12">
        <v>45691</v>
      </c>
      <c r="C15" s="13" t="str">
        <f t="shared" si="0"/>
        <v>Monday</v>
      </c>
      <c r="D15" s="13" t="s">
        <v>37</v>
      </c>
      <c r="E15" s="13" t="s">
        <v>42</v>
      </c>
      <c r="F15" s="13" t="s">
        <v>43</v>
      </c>
      <c r="G15" s="13">
        <v>2</v>
      </c>
      <c r="H15" s="14">
        <v>21</v>
      </c>
      <c r="I15" s="23">
        <f t="shared" si="1"/>
        <v>42</v>
      </c>
    </row>
    <row r="16" ht="14.25" customHeight="1" spans="1:9">
      <c r="A16" s="15" t="s">
        <v>62</v>
      </c>
      <c r="B16" s="16">
        <v>45693</v>
      </c>
      <c r="C16" s="17" t="str">
        <f t="shared" si="0"/>
        <v>Wednesday</v>
      </c>
      <c r="D16" s="17" t="s">
        <v>56</v>
      </c>
      <c r="E16" s="17" t="s">
        <v>42</v>
      </c>
      <c r="F16" s="17" t="s">
        <v>43</v>
      </c>
      <c r="G16" s="17">
        <v>6</v>
      </c>
      <c r="H16" s="18">
        <v>511</v>
      </c>
      <c r="I16" s="24">
        <f t="shared" si="1"/>
        <v>3066</v>
      </c>
    </row>
    <row r="17" ht="14.25" customHeight="1" spans="1:9">
      <c r="A17" s="11" t="s">
        <v>63</v>
      </c>
      <c r="B17" s="12">
        <v>45714</v>
      </c>
      <c r="C17" s="13" t="str">
        <f t="shared" si="0"/>
        <v>Wednesday</v>
      </c>
      <c r="D17" s="13" t="s">
        <v>33</v>
      </c>
      <c r="E17" s="13" t="s">
        <v>49</v>
      </c>
      <c r="F17" s="13" t="s">
        <v>35</v>
      </c>
      <c r="G17" s="13">
        <v>6</v>
      </c>
      <c r="H17" s="14">
        <v>235</v>
      </c>
      <c r="I17" s="23">
        <f t="shared" si="1"/>
        <v>1410</v>
      </c>
    </row>
    <row r="18" ht="14.25" customHeight="1" spans="1:9">
      <c r="A18" s="15" t="s">
        <v>64</v>
      </c>
      <c r="B18" s="16">
        <v>45689</v>
      </c>
      <c r="C18" s="17" t="str">
        <f t="shared" si="0"/>
        <v>Saturday</v>
      </c>
      <c r="D18" s="17" t="s">
        <v>37</v>
      </c>
      <c r="E18" s="17" t="s">
        <v>34</v>
      </c>
      <c r="F18" s="17" t="s">
        <v>35</v>
      </c>
      <c r="G18" s="17">
        <v>6</v>
      </c>
      <c r="H18" s="18">
        <v>646</v>
      </c>
      <c r="I18" s="24">
        <f t="shared" si="1"/>
        <v>3876</v>
      </c>
    </row>
    <row r="19" ht="14.25" customHeight="1" spans="1:9">
      <c r="A19" s="11" t="s">
        <v>65</v>
      </c>
      <c r="B19" s="12">
        <v>45679</v>
      </c>
      <c r="C19" s="13" t="str">
        <f t="shared" si="0"/>
        <v>Wednesday</v>
      </c>
      <c r="D19" s="13" t="s">
        <v>56</v>
      </c>
      <c r="E19" s="13" t="s">
        <v>42</v>
      </c>
      <c r="F19" s="13" t="s">
        <v>43</v>
      </c>
      <c r="G19" s="13">
        <v>1</v>
      </c>
      <c r="H19" s="14">
        <v>375</v>
      </c>
      <c r="I19" s="23">
        <f t="shared" si="1"/>
        <v>375</v>
      </c>
    </row>
    <row r="20" ht="14.25" customHeight="1" spans="1:9">
      <c r="A20" s="15" t="s">
        <v>66</v>
      </c>
      <c r="B20" s="16">
        <v>45693</v>
      </c>
      <c r="C20" s="17" t="str">
        <f t="shared" si="0"/>
        <v>Wednesday</v>
      </c>
      <c r="D20" s="17" t="s">
        <v>52</v>
      </c>
      <c r="E20" s="17" t="s">
        <v>49</v>
      </c>
      <c r="F20" s="17" t="s">
        <v>35</v>
      </c>
      <c r="G20" s="17">
        <v>4</v>
      </c>
      <c r="H20" s="18">
        <v>474</v>
      </c>
      <c r="I20" s="24">
        <f t="shared" si="1"/>
        <v>1896</v>
      </c>
    </row>
    <row r="21" ht="14.25" customHeight="1" spans="1:9">
      <c r="A21" s="11" t="s">
        <v>67</v>
      </c>
      <c r="B21" s="12">
        <v>45699</v>
      </c>
      <c r="C21" s="13" t="str">
        <f t="shared" si="0"/>
        <v>Tuesday</v>
      </c>
      <c r="D21" s="13" t="s">
        <v>33</v>
      </c>
      <c r="E21" s="13" t="s">
        <v>34</v>
      </c>
      <c r="F21" s="13" t="s">
        <v>35</v>
      </c>
      <c r="G21" s="13">
        <v>5</v>
      </c>
      <c r="H21" s="14">
        <v>649</v>
      </c>
      <c r="I21" s="23">
        <f t="shared" si="1"/>
        <v>3245</v>
      </c>
    </row>
    <row r="22" ht="14.25" customHeight="1" spans="1:9">
      <c r="A22" s="15" t="s">
        <v>68</v>
      </c>
      <c r="B22" s="16">
        <v>45715</v>
      </c>
      <c r="C22" s="17" t="str">
        <f t="shared" si="0"/>
        <v>Thursday</v>
      </c>
      <c r="D22" s="17" t="s">
        <v>33</v>
      </c>
      <c r="E22" s="17" t="s">
        <v>49</v>
      </c>
      <c r="F22" s="17" t="s">
        <v>35</v>
      </c>
      <c r="G22" s="17">
        <v>10</v>
      </c>
      <c r="H22" s="18">
        <v>710</v>
      </c>
      <c r="I22" s="24">
        <f t="shared" si="1"/>
        <v>7100</v>
      </c>
    </row>
    <row r="23" ht="14.25" customHeight="1" spans="1:9">
      <c r="A23" s="11" t="s">
        <v>69</v>
      </c>
      <c r="B23" s="12">
        <v>45676</v>
      </c>
      <c r="C23" s="13" t="str">
        <f t="shared" si="0"/>
        <v>Sunday</v>
      </c>
      <c r="D23" s="13" t="s">
        <v>56</v>
      </c>
      <c r="E23" s="13" t="s">
        <v>38</v>
      </c>
      <c r="F23" s="13" t="s">
        <v>39</v>
      </c>
      <c r="G23" s="13">
        <v>7</v>
      </c>
      <c r="H23" s="14">
        <v>896</v>
      </c>
      <c r="I23" s="23">
        <f t="shared" si="1"/>
        <v>6272</v>
      </c>
    </row>
    <row r="24" ht="14.25" customHeight="1" spans="1:9">
      <c r="A24" s="15" t="s">
        <v>70</v>
      </c>
      <c r="B24" s="16">
        <v>45672</v>
      </c>
      <c r="C24" s="17" t="str">
        <f t="shared" si="0"/>
        <v>Wednesday</v>
      </c>
      <c r="D24" s="17" t="s">
        <v>56</v>
      </c>
      <c r="E24" s="17" t="s">
        <v>38</v>
      </c>
      <c r="F24" s="17" t="s">
        <v>39</v>
      </c>
      <c r="G24" s="17">
        <v>1</v>
      </c>
      <c r="H24" s="18">
        <v>899</v>
      </c>
      <c r="I24" s="24">
        <f t="shared" si="1"/>
        <v>899</v>
      </c>
    </row>
    <row r="25" ht="14.25" customHeight="1" spans="1:9">
      <c r="A25" s="11" t="s">
        <v>71</v>
      </c>
      <c r="B25" s="12">
        <v>45680</v>
      </c>
      <c r="C25" s="13" t="str">
        <f t="shared" si="0"/>
        <v>Thursday</v>
      </c>
      <c r="D25" s="13" t="s">
        <v>56</v>
      </c>
      <c r="E25" s="13" t="s">
        <v>57</v>
      </c>
      <c r="F25" s="13" t="s">
        <v>43</v>
      </c>
      <c r="G25" s="13">
        <v>8</v>
      </c>
      <c r="H25" s="14">
        <v>457</v>
      </c>
      <c r="I25" s="23">
        <f t="shared" si="1"/>
        <v>3656</v>
      </c>
    </row>
    <row r="26" ht="14.25" customHeight="1" spans="1:9">
      <c r="A26" s="15" t="s">
        <v>72</v>
      </c>
      <c r="B26" s="16">
        <v>45680</v>
      </c>
      <c r="C26" s="17" t="str">
        <f t="shared" si="0"/>
        <v>Thursday</v>
      </c>
      <c r="D26" s="17" t="s">
        <v>56</v>
      </c>
      <c r="E26" s="17" t="s">
        <v>38</v>
      </c>
      <c r="F26" s="17" t="s">
        <v>39</v>
      </c>
      <c r="G26" s="17">
        <v>9</v>
      </c>
      <c r="H26" s="18">
        <v>587</v>
      </c>
      <c r="I26" s="24">
        <f t="shared" si="1"/>
        <v>5283</v>
      </c>
    </row>
    <row r="27" ht="14.25" customHeight="1" spans="1:9">
      <c r="A27" s="11" t="s">
        <v>73</v>
      </c>
      <c r="B27" s="12">
        <v>45683</v>
      </c>
      <c r="C27" s="13" t="str">
        <f t="shared" si="0"/>
        <v>Sunday</v>
      </c>
      <c r="D27" s="13" t="s">
        <v>37</v>
      </c>
      <c r="E27" s="13" t="s">
        <v>38</v>
      </c>
      <c r="F27" s="13" t="s">
        <v>39</v>
      </c>
      <c r="G27" s="13">
        <v>4</v>
      </c>
      <c r="H27" s="14">
        <v>420</v>
      </c>
      <c r="I27" s="23">
        <f t="shared" si="1"/>
        <v>1680</v>
      </c>
    </row>
    <row r="28" ht="14.25" customHeight="1" spans="1:9">
      <c r="A28" s="15" t="s">
        <v>74</v>
      </c>
      <c r="B28" s="16">
        <v>45706</v>
      </c>
      <c r="C28" s="17" t="str">
        <f t="shared" si="0"/>
        <v>Tuesday</v>
      </c>
      <c r="D28" s="17" t="s">
        <v>52</v>
      </c>
      <c r="E28" s="17" t="s">
        <v>34</v>
      </c>
      <c r="F28" s="17" t="s">
        <v>35</v>
      </c>
      <c r="G28" s="17">
        <v>4</v>
      </c>
      <c r="H28" s="18">
        <v>761</v>
      </c>
      <c r="I28" s="24">
        <f t="shared" si="1"/>
        <v>3044</v>
      </c>
    </row>
    <row r="29" ht="14.25" customHeight="1" spans="1:9">
      <c r="A29" s="11" t="s">
        <v>75</v>
      </c>
      <c r="B29" s="12">
        <v>45666</v>
      </c>
      <c r="C29" s="13" t="str">
        <f t="shared" si="0"/>
        <v>Thursday</v>
      </c>
      <c r="D29" s="13" t="s">
        <v>52</v>
      </c>
      <c r="E29" s="13" t="s">
        <v>38</v>
      </c>
      <c r="F29" s="13" t="s">
        <v>39</v>
      </c>
      <c r="G29" s="13">
        <v>3</v>
      </c>
      <c r="H29" s="14">
        <v>18</v>
      </c>
      <c r="I29" s="23">
        <f t="shared" si="1"/>
        <v>54</v>
      </c>
    </row>
    <row r="30" ht="14.25" customHeight="1" spans="1:9">
      <c r="A30" s="15" t="s">
        <v>76</v>
      </c>
      <c r="B30" s="16">
        <v>45709</v>
      </c>
      <c r="C30" s="17" t="str">
        <f t="shared" si="0"/>
        <v>Friday</v>
      </c>
      <c r="D30" s="17" t="s">
        <v>37</v>
      </c>
      <c r="E30" s="17" t="s">
        <v>54</v>
      </c>
      <c r="F30" s="17" t="s">
        <v>43</v>
      </c>
      <c r="G30" s="17">
        <v>3</v>
      </c>
      <c r="H30" s="18">
        <v>351</v>
      </c>
      <c r="I30" s="24">
        <f t="shared" si="1"/>
        <v>1053</v>
      </c>
    </row>
    <row r="31" ht="14.25" customHeight="1" spans="1:9">
      <c r="A31" s="11" t="s">
        <v>77</v>
      </c>
      <c r="B31" s="12">
        <v>45682</v>
      </c>
      <c r="C31" s="13" t="str">
        <f t="shared" si="0"/>
        <v>Saturday</v>
      </c>
      <c r="D31" s="13" t="s">
        <v>52</v>
      </c>
      <c r="E31" s="13" t="s">
        <v>42</v>
      </c>
      <c r="F31" s="13" t="s">
        <v>43</v>
      </c>
      <c r="G31" s="13">
        <v>10</v>
      </c>
      <c r="H31" s="14">
        <v>131</v>
      </c>
      <c r="I31" s="23">
        <f t="shared" si="1"/>
        <v>1310</v>
      </c>
    </row>
    <row r="32" ht="14.25" customHeight="1" spans="1:9">
      <c r="A32" s="15" t="s">
        <v>78</v>
      </c>
      <c r="B32" s="16">
        <v>45717</v>
      </c>
      <c r="C32" s="17" t="str">
        <f t="shared" si="0"/>
        <v>Saturday</v>
      </c>
      <c r="D32" s="17" t="s">
        <v>33</v>
      </c>
      <c r="E32" s="17" t="s">
        <v>49</v>
      </c>
      <c r="F32" s="17" t="s">
        <v>35</v>
      </c>
      <c r="G32" s="17">
        <v>4</v>
      </c>
      <c r="H32" s="18">
        <v>240</v>
      </c>
      <c r="I32" s="24">
        <f t="shared" si="1"/>
        <v>960</v>
      </c>
    </row>
    <row r="33" ht="14.25" customHeight="1" spans="1:9">
      <c r="A33" s="11" t="s">
        <v>79</v>
      </c>
      <c r="B33" s="12">
        <v>45698</v>
      </c>
      <c r="C33" s="13" t="str">
        <f t="shared" si="0"/>
        <v>Monday</v>
      </c>
      <c r="D33" s="13" t="s">
        <v>33</v>
      </c>
      <c r="E33" s="13" t="s">
        <v>54</v>
      </c>
      <c r="F33" s="13" t="s">
        <v>43</v>
      </c>
      <c r="G33" s="13">
        <v>5</v>
      </c>
      <c r="H33" s="14">
        <v>298</v>
      </c>
      <c r="I33" s="23">
        <f t="shared" si="1"/>
        <v>1490</v>
      </c>
    </row>
    <row r="34" ht="14.25" customHeight="1" spans="1:9">
      <c r="A34" s="15" t="s">
        <v>80</v>
      </c>
      <c r="B34" s="16">
        <v>45717</v>
      </c>
      <c r="C34" s="17" t="str">
        <f t="shared" si="0"/>
        <v>Saturday</v>
      </c>
      <c r="D34" s="17" t="s">
        <v>33</v>
      </c>
      <c r="E34" s="17" t="s">
        <v>49</v>
      </c>
      <c r="F34" s="17" t="s">
        <v>35</v>
      </c>
      <c r="G34" s="17">
        <v>5</v>
      </c>
      <c r="H34" s="18">
        <v>575</v>
      </c>
      <c r="I34" s="24">
        <f t="shared" si="1"/>
        <v>2875</v>
      </c>
    </row>
    <row r="35" ht="14.25" customHeight="1" spans="1:9">
      <c r="A35" s="11" t="s">
        <v>81</v>
      </c>
      <c r="B35" s="12">
        <v>45715</v>
      </c>
      <c r="C35" s="13" t="str">
        <f t="shared" ref="C35:C66" si="2">TEXT(B35,"DDDD")</f>
        <v>Thursday</v>
      </c>
      <c r="D35" s="13" t="s">
        <v>52</v>
      </c>
      <c r="E35" s="13" t="s">
        <v>57</v>
      </c>
      <c r="F35" s="13" t="s">
        <v>43</v>
      </c>
      <c r="G35" s="13">
        <v>10</v>
      </c>
      <c r="H35" s="14">
        <v>253</v>
      </c>
      <c r="I35" s="23">
        <f t="shared" si="1"/>
        <v>2530</v>
      </c>
    </row>
    <row r="36" ht="14.25" customHeight="1" spans="1:9">
      <c r="A36" s="15" t="s">
        <v>82</v>
      </c>
      <c r="B36" s="16">
        <v>45717</v>
      </c>
      <c r="C36" s="17" t="str">
        <f t="shared" si="2"/>
        <v>Saturday</v>
      </c>
      <c r="D36" s="17" t="s">
        <v>56</v>
      </c>
      <c r="E36" s="17" t="s">
        <v>38</v>
      </c>
      <c r="F36" s="17" t="s">
        <v>39</v>
      </c>
      <c r="G36" s="17">
        <v>7</v>
      </c>
      <c r="H36" s="18">
        <v>636</v>
      </c>
      <c r="I36" s="24">
        <f t="shared" si="1"/>
        <v>4452</v>
      </c>
    </row>
    <row r="37" ht="14.25" customHeight="1" spans="1:9">
      <c r="A37" s="11" t="s">
        <v>83</v>
      </c>
      <c r="B37" s="12">
        <v>45686</v>
      </c>
      <c r="C37" s="13" t="str">
        <f t="shared" si="2"/>
        <v>Wednesday</v>
      </c>
      <c r="D37" s="13" t="s">
        <v>56</v>
      </c>
      <c r="E37" s="13" t="s">
        <v>54</v>
      </c>
      <c r="F37" s="13" t="s">
        <v>43</v>
      </c>
      <c r="G37" s="13">
        <v>9</v>
      </c>
      <c r="H37" s="14">
        <v>127</v>
      </c>
      <c r="I37" s="23">
        <f t="shared" si="1"/>
        <v>1143</v>
      </c>
    </row>
    <row r="38" ht="14.25" customHeight="1" spans="1:9">
      <c r="A38" s="15" t="s">
        <v>84</v>
      </c>
      <c r="B38" s="16">
        <v>45689</v>
      </c>
      <c r="C38" s="17" t="str">
        <f t="shared" si="2"/>
        <v>Saturday</v>
      </c>
      <c r="D38" s="17" t="s">
        <v>37</v>
      </c>
      <c r="E38" s="17" t="s">
        <v>54</v>
      </c>
      <c r="F38" s="17" t="s">
        <v>43</v>
      </c>
      <c r="G38" s="17">
        <v>1</v>
      </c>
      <c r="H38" s="18">
        <v>120</v>
      </c>
      <c r="I38" s="24">
        <f t="shared" si="1"/>
        <v>120</v>
      </c>
    </row>
    <row r="39" ht="14.25" customHeight="1" spans="1:9">
      <c r="A39" s="11" t="s">
        <v>85</v>
      </c>
      <c r="B39" s="12">
        <v>45691</v>
      </c>
      <c r="C39" s="13" t="str">
        <f t="shared" si="2"/>
        <v>Monday</v>
      </c>
      <c r="D39" s="13" t="s">
        <v>52</v>
      </c>
      <c r="E39" s="13" t="s">
        <v>38</v>
      </c>
      <c r="F39" s="13" t="s">
        <v>39</v>
      </c>
      <c r="G39" s="13">
        <v>9</v>
      </c>
      <c r="H39" s="14">
        <v>241</v>
      </c>
      <c r="I39" s="23">
        <f t="shared" ref="I39:I70" si="3">G39*H39</f>
        <v>2169</v>
      </c>
    </row>
    <row r="40" ht="14.25" customHeight="1" spans="1:9">
      <c r="A40" s="15" t="s">
        <v>86</v>
      </c>
      <c r="B40" s="16">
        <v>45662</v>
      </c>
      <c r="C40" s="17" t="str">
        <f t="shared" si="2"/>
        <v>Sunday</v>
      </c>
      <c r="D40" s="17" t="s">
        <v>56</v>
      </c>
      <c r="E40" s="17" t="s">
        <v>49</v>
      </c>
      <c r="F40" s="17" t="s">
        <v>35</v>
      </c>
      <c r="G40" s="17">
        <v>1</v>
      </c>
      <c r="H40" s="18">
        <v>284</v>
      </c>
      <c r="I40" s="24">
        <f t="shared" si="3"/>
        <v>284</v>
      </c>
    </row>
    <row r="41" ht="14.25" customHeight="1" spans="1:9">
      <c r="A41" s="11" t="s">
        <v>87</v>
      </c>
      <c r="B41" s="12">
        <v>45710</v>
      </c>
      <c r="C41" s="13" t="str">
        <f t="shared" si="2"/>
        <v>Saturday</v>
      </c>
      <c r="D41" s="13" t="s">
        <v>56</v>
      </c>
      <c r="E41" s="13" t="s">
        <v>34</v>
      </c>
      <c r="F41" s="13" t="s">
        <v>35</v>
      </c>
      <c r="G41" s="13">
        <v>5</v>
      </c>
      <c r="H41" s="14">
        <v>694</v>
      </c>
      <c r="I41" s="23">
        <f t="shared" si="3"/>
        <v>3470</v>
      </c>
    </row>
    <row r="42" ht="14.25" customHeight="1" spans="1:9">
      <c r="A42" s="15" t="s">
        <v>88</v>
      </c>
      <c r="B42" s="16">
        <v>45709</v>
      </c>
      <c r="C42" s="17" t="str">
        <f t="shared" si="2"/>
        <v>Friday</v>
      </c>
      <c r="D42" s="17" t="s">
        <v>37</v>
      </c>
      <c r="E42" s="17" t="s">
        <v>59</v>
      </c>
      <c r="F42" s="17" t="s">
        <v>43</v>
      </c>
      <c r="G42" s="17">
        <v>10</v>
      </c>
      <c r="H42" s="18">
        <v>216</v>
      </c>
      <c r="I42" s="24">
        <f t="shared" si="3"/>
        <v>2160</v>
      </c>
    </row>
    <row r="43" ht="14.25" customHeight="1" spans="1:9">
      <c r="A43" s="11" t="s">
        <v>89</v>
      </c>
      <c r="B43" s="12">
        <v>45710</v>
      </c>
      <c r="C43" s="13" t="str">
        <f t="shared" si="2"/>
        <v>Saturday</v>
      </c>
      <c r="D43" s="13" t="s">
        <v>52</v>
      </c>
      <c r="E43" s="13" t="s">
        <v>34</v>
      </c>
      <c r="F43" s="13" t="s">
        <v>35</v>
      </c>
      <c r="G43" s="13">
        <v>10</v>
      </c>
      <c r="H43" s="14">
        <v>806</v>
      </c>
      <c r="I43" s="23">
        <f t="shared" si="3"/>
        <v>8060</v>
      </c>
    </row>
    <row r="44" ht="14.25" customHeight="1" spans="1:9">
      <c r="A44" s="15" t="s">
        <v>90</v>
      </c>
      <c r="B44" s="16">
        <v>45669</v>
      </c>
      <c r="C44" s="17" t="str">
        <f t="shared" si="2"/>
        <v>Sunday</v>
      </c>
      <c r="D44" s="17" t="s">
        <v>52</v>
      </c>
      <c r="E44" s="17" t="s">
        <v>54</v>
      </c>
      <c r="F44" s="17" t="s">
        <v>43</v>
      </c>
      <c r="G44" s="17">
        <v>3</v>
      </c>
      <c r="H44" s="18">
        <v>336</v>
      </c>
      <c r="I44" s="24">
        <f t="shared" si="3"/>
        <v>1008</v>
      </c>
    </row>
    <row r="45" ht="14.25" customHeight="1" spans="1:9">
      <c r="A45" s="11" t="s">
        <v>91</v>
      </c>
      <c r="B45" s="12">
        <v>45678</v>
      </c>
      <c r="C45" s="13" t="str">
        <f t="shared" si="2"/>
        <v>Tuesday</v>
      </c>
      <c r="D45" s="13" t="s">
        <v>56</v>
      </c>
      <c r="E45" s="13" t="s">
        <v>42</v>
      </c>
      <c r="F45" s="13" t="s">
        <v>43</v>
      </c>
      <c r="G45" s="13">
        <v>7</v>
      </c>
      <c r="H45" s="14">
        <v>269</v>
      </c>
      <c r="I45" s="23">
        <f t="shared" si="3"/>
        <v>1883</v>
      </c>
    </row>
    <row r="46" ht="14.25" customHeight="1" spans="1:9">
      <c r="A46" s="15" t="s">
        <v>92</v>
      </c>
      <c r="B46" s="16">
        <v>45669</v>
      </c>
      <c r="C46" s="17" t="str">
        <f t="shared" si="2"/>
        <v>Sunday</v>
      </c>
      <c r="D46" s="17" t="s">
        <v>52</v>
      </c>
      <c r="E46" s="17" t="s">
        <v>54</v>
      </c>
      <c r="F46" s="17" t="s">
        <v>43</v>
      </c>
      <c r="G46" s="17">
        <v>2</v>
      </c>
      <c r="H46" s="18">
        <v>784</v>
      </c>
      <c r="I46" s="24">
        <f t="shared" si="3"/>
        <v>1568</v>
      </c>
    </row>
    <row r="47" ht="14.25" customHeight="1" spans="1:9">
      <c r="A47" s="11" t="s">
        <v>93</v>
      </c>
      <c r="B47" s="12">
        <v>45668</v>
      </c>
      <c r="C47" s="13" t="str">
        <f t="shared" si="2"/>
        <v>Saturday</v>
      </c>
      <c r="D47" s="13" t="s">
        <v>33</v>
      </c>
      <c r="E47" s="13" t="s">
        <v>42</v>
      </c>
      <c r="F47" s="13" t="s">
        <v>43</v>
      </c>
      <c r="G47" s="13">
        <v>5</v>
      </c>
      <c r="H47" s="14">
        <v>282</v>
      </c>
      <c r="I47" s="23">
        <f t="shared" si="3"/>
        <v>1410</v>
      </c>
    </row>
    <row r="48" ht="14.25" customHeight="1" spans="1:9">
      <c r="A48" s="15" t="s">
        <v>94</v>
      </c>
      <c r="B48" s="16">
        <v>45707</v>
      </c>
      <c r="C48" s="17" t="str">
        <f t="shared" si="2"/>
        <v>Wednesday</v>
      </c>
      <c r="D48" s="17" t="s">
        <v>33</v>
      </c>
      <c r="E48" s="17" t="s">
        <v>49</v>
      </c>
      <c r="F48" s="17" t="s">
        <v>35</v>
      </c>
      <c r="G48" s="17">
        <v>8</v>
      </c>
      <c r="H48" s="18">
        <v>125</v>
      </c>
      <c r="I48" s="24">
        <f t="shared" si="3"/>
        <v>1000</v>
      </c>
    </row>
    <row r="49" ht="14.25" customHeight="1" spans="1:9">
      <c r="A49" s="11" t="s">
        <v>95</v>
      </c>
      <c r="B49" s="12">
        <v>45665</v>
      </c>
      <c r="C49" s="13" t="str">
        <f t="shared" si="2"/>
        <v>Wednesday</v>
      </c>
      <c r="D49" s="13" t="s">
        <v>56</v>
      </c>
      <c r="E49" s="13" t="s">
        <v>42</v>
      </c>
      <c r="F49" s="13" t="s">
        <v>43</v>
      </c>
      <c r="G49" s="13">
        <v>10</v>
      </c>
      <c r="H49" s="14">
        <v>150</v>
      </c>
      <c r="I49" s="23">
        <f t="shared" si="3"/>
        <v>1500</v>
      </c>
    </row>
    <row r="50" ht="14.25" customHeight="1" spans="1:9">
      <c r="A50" s="15" t="s">
        <v>96</v>
      </c>
      <c r="B50" s="16">
        <v>45718</v>
      </c>
      <c r="C50" s="17" t="str">
        <f t="shared" si="2"/>
        <v>Sunday</v>
      </c>
      <c r="D50" s="17" t="s">
        <v>52</v>
      </c>
      <c r="E50" s="17" t="s">
        <v>42</v>
      </c>
      <c r="F50" s="17" t="s">
        <v>43</v>
      </c>
      <c r="G50" s="17">
        <v>1</v>
      </c>
      <c r="H50" s="18">
        <v>428</v>
      </c>
      <c r="I50" s="24">
        <f t="shared" si="3"/>
        <v>428</v>
      </c>
    </row>
    <row r="51" ht="14.25" customHeight="1" spans="1:9">
      <c r="A51" s="11" t="s">
        <v>97</v>
      </c>
      <c r="B51" s="12">
        <v>45693</v>
      </c>
      <c r="C51" s="13" t="str">
        <f t="shared" si="2"/>
        <v>Wednesday</v>
      </c>
      <c r="D51" s="13" t="s">
        <v>33</v>
      </c>
      <c r="E51" s="13" t="s">
        <v>42</v>
      </c>
      <c r="F51" s="13" t="s">
        <v>43</v>
      </c>
      <c r="G51" s="13">
        <v>9</v>
      </c>
      <c r="H51" s="14">
        <v>182</v>
      </c>
      <c r="I51" s="23">
        <f t="shared" si="3"/>
        <v>1638</v>
      </c>
    </row>
    <row r="52" ht="14.25" customHeight="1" spans="1:9">
      <c r="A52" s="15" t="s">
        <v>98</v>
      </c>
      <c r="B52" s="16">
        <v>45694</v>
      </c>
      <c r="C52" s="17" t="str">
        <f t="shared" si="2"/>
        <v>Thursday</v>
      </c>
      <c r="D52" s="17" t="s">
        <v>33</v>
      </c>
      <c r="E52" s="17" t="s">
        <v>34</v>
      </c>
      <c r="F52" s="17" t="s">
        <v>35</v>
      </c>
      <c r="G52" s="17">
        <v>8</v>
      </c>
      <c r="H52" s="18">
        <v>878</v>
      </c>
      <c r="I52" s="24">
        <f t="shared" si="3"/>
        <v>7024</v>
      </c>
    </row>
    <row r="53" ht="14.25" customHeight="1" spans="1:9">
      <c r="A53" s="11" t="s">
        <v>99</v>
      </c>
      <c r="B53" s="12">
        <v>45704</v>
      </c>
      <c r="C53" s="13" t="str">
        <f t="shared" si="2"/>
        <v>Sunday</v>
      </c>
      <c r="D53" s="13" t="s">
        <v>56</v>
      </c>
      <c r="E53" s="13" t="s">
        <v>57</v>
      </c>
      <c r="F53" s="13" t="s">
        <v>43</v>
      </c>
      <c r="G53" s="13">
        <v>4</v>
      </c>
      <c r="H53" s="14">
        <v>31</v>
      </c>
      <c r="I53" s="23">
        <f t="shared" si="3"/>
        <v>124</v>
      </c>
    </row>
    <row r="54" ht="14.25" customHeight="1" spans="1:9">
      <c r="A54" s="15" t="s">
        <v>100</v>
      </c>
      <c r="B54" s="16">
        <v>45665</v>
      </c>
      <c r="C54" s="17" t="str">
        <f t="shared" si="2"/>
        <v>Wednesday</v>
      </c>
      <c r="D54" s="17" t="s">
        <v>33</v>
      </c>
      <c r="E54" s="17" t="s">
        <v>54</v>
      </c>
      <c r="F54" s="17" t="s">
        <v>43</v>
      </c>
      <c r="G54" s="17">
        <v>9</v>
      </c>
      <c r="H54" s="18">
        <v>159</v>
      </c>
      <c r="I54" s="24">
        <f t="shared" si="3"/>
        <v>1431</v>
      </c>
    </row>
    <row r="55" ht="14.25" customHeight="1" spans="1:9">
      <c r="A55" s="11" t="s">
        <v>101</v>
      </c>
      <c r="B55" s="12">
        <v>45660</v>
      </c>
      <c r="C55" s="13" t="str">
        <f t="shared" si="2"/>
        <v>Friday</v>
      </c>
      <c r="D55" s="13" t="s">
        <v>52</v>
      </c>
      <c r="E55" s="13" t="s">
        <v>42</v>
      </c>
      <c r="F55" s="13" t="s">
        <v>43</v>
      </c>
      <c r="G55" s="13">
        <v>10</v>
      </c>
      <c r="H55" s="14">
        <v>259</v>
      </c>
      <c r="I55" s="23">
        <f t="shared" si="3"/>
        <v>2590</v>
      </c>
    </row>
    <row r="56" ht="14.25" customHeight="1" spans="1:9">
      <c r="A56" s="15" t="s">
        <v>102</v>
      </c>
      <c r="B56" s="16">
        <v>45694</v>
      </c>
      <c r="C56" s="17" t="str">
        <f t="shared" si="2"/>
        <v>Thursday</v>
      </c>
      <c r="D56" s="17" t="s">
        <v>33</v>
      </c>
      <c r="E56" s="17" t="s">
        <v>49</v>
      </c>
      <c r="F56" s="17" t="s">
        <v>35</v>
      </c>
      <c r="G56" s="17">
        <v>3</v>
      </c>
      <c r="H56" s="18">
        <v>427</v>
      </c>
      <c r="I56" s="24">
        <f t="shared" si="3"/>
        <v>1281</v>
      </c>
    </row>
    <row r="57" ht="14.25" customHeight="1" spans="1:9">
      <c r="A57" s="11" t="s">
        <v>103</v>
      </c>
      <c r="B57" s="12">
        <v>45692</v>
      </c>
      <c r="C57" s="13" t="str">
        <f t="shared" si="2"/>
        <v>Tuesday</v>
      </c>
      <c r="D57" s="13" t="s">
        <v>33</v>
      </c>
      <c r="E57" s="13" t="s">
        <v>54</v>
      </c>
      <c r="F57" s="13" t="s">
        <v>43</v>
      </c>
      <c r="G57" s="13">
        <v>8</v>
      </c>
      <c r="H57" s="14">
        <v>105</v>
      </c>
      <c r="I57" s="23">
        <f t="shared" si="3"/>
        <v>840</v>
      </c>
    </row>
    <row r="58" ht="14.25" customHeight="1" spans="1:9">
      <c r="A58" s="15" t="s">
        <v>104</v>
      </c>
      <c r="B58" s="16">
        <v>45667</v>
      </c>
      <c r="C58" s="17" t="str">
        <f t="shared" si="2"/>
        <v>Friday</v>
      </c>
      <c r="D58" s="17" t="s">
        <v>52</v>
      </c>
      <c r="E58" s="17" t="s">
        <v>42</v>
      </c>
      <c r="F58" s="17" t="s">
        <v>43</v>
      </c>
      <c r="G58" s="17">
        <v>8</v>
      </c>
      <c r="H58" s="18">
        <v>276</v>
      </c>
      <c r="I58" s="24">
        <f t="shared" si="3"/>
        <v>2208</v>
      </c>
    </row>
    <row r="59" ht="14.25" customHeight="1" spans="1:9">
      <c r="A59" s="11" t="s">
        <v>105</v>
      </c>
      <c r="B59" s="12">
        <v>45715</v>
      </c>
      <c r="C59" s="13" t="str">
        <f t="shared" si="2"/>
        <v>Thursday</v>
      </c>
      <c r="D59" s="13" t="s">
        <v>56</v>
      </c>
      <c r="E59" s="13" t="s">
        <v>49</v>
      </c>
      <c r="F59" s="13" t="s">
        <v>35</v>
      </c>
      <c r="G59" s="13">
        <v>1</v>
      </c>
      <c r="H59" s="14">
        <v>76</v>
      </c>
      <c r="I59" s="23">
        <f t="shared" si="3"/>
        <v>76</v>
      </c>
    </row>
    <row r="60" ht="14.25" customHeight="1" spans="1:9">
      <c r="A60" s="15" t="s">
        <v>106</v>
      </c>
      <c r="B60" s="16">
        <v>45690</v>
      </c>
      <c r="C60" s="17" t="str">
        <f t="shared" si="2"/>
        <v>Sunday</v>
      </c>
      <c r="D60" s="17" t="s">
        <v>33</v>
      </c>
      <c r="E60" s="17" t="s">
        <v>54</v>
      </c>
      <c r="F60" s="17" t="s">
        <v>43</v>
      </c>
      <c r="G60" s="17">
        <v>9</v>
      </c>
      <c r="H60" s="18">
        <v>49</v>
      </c>
      <c r="I60" s="24">
        <f t="shared" si="3"/>
        <v>441</v>
      </c>
    </row>
    <row r="61" ht="14.25" customHeight="1" spans="1:9">
      <c r="A61" s="11" t="s">
        <v>107</v>
      </c>
      <c r="B61" s="12">
        <v>45688</v>
      </c>
      <c r="C61" s="13" t="str">
        <f t="shared" si="2"/>
        <v>Friday</v>
      </c>
      <c r="D61" s="13" t="s">
        <v>52</v>
      </c>
      <c r="E61" s="13" t="s">
        <v>49</v>
      </c>
      <c r="F61" s="13" t="s">
        <v>35</v>
      </c>
      <c r="G61" s="13">
        <v>2</v>
      </c>
      <c r="H61" s="14">
        <v>823</v>
      </c>
      <c r="I61" s="23">
        <f t="shared" si="3"/>
        <v>1646</v>
      </c>
    </row>
    <row r="62" ht="14.25" customHeight="1" spans="1:9">
      <c r="A62" s="15" t="s">
        <v>108</v>
      </c>
      <c r="B62" s="16">
        <v>45705</v>
      </c>
      <c r="C62" s="17" t="str">
        <f t="shared" si="2"/>
        <v>Monday</v>
      </c>
      <c r="D62" s="17" t="s">
        <v>37</v>
      </c>
      <c r="E62" s="17" t="s">
        <v>59</v>
      </c>
      <c r="F62" s="17" t="s">
        <v>43</v>
      </c>
      <c r="G62" s="17">
        <v>5</v>
      </c>
      <c r="H62" s="18">
        <v>149</v>
      </c>
      <c r="I62" s="24">
        <f t="shared" si="3"/>
        <v>745</v>
      </c>
    </row>
    <row r="63" ht="14.25" customHeight="1" spans="1:9">
      <c r="A63" s="11" t="s">
        <v>109</v>
      </c>
      <c r="B63" s="12">
        <v>45663</v>
      </c>
      <c r="C63" s="13" t="str">
        <f t="shared" si="2"/>
        <v>Monday</v>
      </c>
      <c r="D63" s="13" t="s">
        <v>37</v>
      </c>
      <c r="E63" s="13" t="s">
        <v>38</v>
      </c>
      <c r="F63" s="13" t="s">
        <v>39</v>
      </c>
      <c r="G63" s="13">
        <v>7</v>
      </c>
      <c r="H63" s="14">
        <v>790</v>
      </c>
      <c r="I63" s="23">
        <f t="shared" si="3"/>
        <v>5530</v>
      </c>
    </row>
    <row r="64" ht="14.25" customHeight="1" spans="1:9">
      <c r="A64" s="15" t="s">
        <v>110</v>
      </c>
      <c r="B64" s="16">
        <v>45704</v>
      </c>
      <c r="C64" s="17" t="str">
        <f t="shared" si="2"/>
        <v>Sunday</v>
      </c>
      <c r="D64" s="17" t="s">
        <v>33</v>
      </c>
      <c r="E64" s="17" t="s">
        <v>54</v>
      </c>
      <c r="F64" s="17" t="s">
        <v>43</v>
      </c>
      <c r="G64" s="17">
        <v>8</v>
      </c>
      <c r="H64" s="18">
        <v>840</v>
      </c>
      <c r="I64" s="24">
        <f t="shared" si="3"/>
        <v>6720</v>
      </c>
    </row>
    <row r="65" ht="14.25" customHeight="1" spans="1:9">
      <c r="A65" s="11" t="s">
        <v>111</v>
      </c>
      <c r="B65" s="12">
        <v>45692</v>
      </c>
      <c r="C65" s="13" t="str">
        <f t="shared" si="2"/>
        <v>Tuesday</v>
      </c>
      <c r="D65" s="13" t="s">
        <v>37</v>
      </c>
      <c r="E65" s="13" t="s">
        <v>38</v>
      </c>
      <c r="F65" s="13" t="s">
        <v>39</v>
      </c>
      <c r="G65" s="13">
        <v>1</v>
      </c>
      <c r="H65" s="14">
        <v>382</v>
      </c>
      <c r="I65" s="23">
        <f t="shared" si="3"/>
        <v>382</v>
      </c>
    </row>
    <row r="66" ht="14.25" customHeight="1" spans="1:9">
      <c r="A66" s="15" t="s">
        <v>112</v>
      </c>
      <c r="B66" s="16">
        <v>45713</v>
      </c>
      <c r="C66" s="17" t="str">
        <f t="shared" si="2"/>
        <v>Tuesday</v>
      </c>
      <c r="D66" s="17" t="s">
        <v>33</v>
      </c>
      <c r="E66" s="17" t="s">
        <v>38</v>
      </c>
      <c r="F66" s="17" t="s">
        <v>39</v>
      </c>
      <c r="G66" s="17">
        <v>2</v>
      </c>
      <c r="H66" s="18">
        <v>460</v>
      </c>
      <c r="I66" s="24">
        <f t="shared" si="3"/>
        <v>920</v>
      </c>
    </row>
    <row r="67" ht="14.25" customHeight="1" spans="1:9">
      <c r="A67" s="11" t="s">
        <v>113</v>
      </c>
      <c r="B67" s="12">
        <v>45685</v>
      </c>
      <c r="C67" s="13" t="str">
        <f t="shared" ref="C67:C98" si="4">TEXT(B67,"DDDD")</f>
        <v>Tuesday</v>
      </c>
      <c r="D67" s="13" t="s">
        <v>52</v>
      </c>
      <c r="E67" s="13" t="s">
        <v>34</v>
      </c>
      <c r="F67" s="13" t="s">
        <v>35</v>
      </c>
      <c r="G67" s="13">
        <v>6</v>
      </c>
      <c r="H67" s="14">
        <v>38</v>
      </c>
      <c r="I67" s="23">
        <f t="shared" si="3"/>
        <v>228</v>
      </c>
    </row>
    <row r="68" ht="14.25" customHeight="1" spans="1:9">
      <c r="A68" s="15" t="s">
        <v>114</v>
      </c>
      <c r="B68" s="16">
        <v>45701</v>
      </c>
      <c r="C68" s="17" t="str">
        <f t="shared" si="4"/>
        <v>Thursday</v>
      </c>
      <c r="D68" s="17" t="s">
        <v>52</v>
      </c>
      <c r="E68" s="17" t="s">
        <v>54</v>
      </c>
      <c r="F68" s="17" t="s">
        <v>43</v>
      </c>
      <c r="G68" s="17">
        <v>3</v>
      </c>
      <c r="H68" s="18">
        <v>762</v>
      </c>
      <c r="I68" s="24">
        <f t="shared" si="3"/>
        <v>2286</v>
      </c>
    </row>
    <row r="69" ht="14.25" customHeight="1" spans="1:9">
      <c r="A69" s="11" t="s">
        <v>115</v>
      </c>
      <c r="B69" s="12">
        <v>45681</v>
      </c>
      <c r="C69" s="13" t="str">
        <f t="shared" si="4"/>
        <v>Friday</v>
      </c>
      <c r="D69" s="13" t="s">
        <v>52</v>
      </c>
      <c r="E69" s="13" t="s">
        <v>42</v>
      </c>
      <c r="F69" s="13" t="s">
        <v>43</v>
      </c>
      <c r="G69" s="13">
        <v>2</v>
      </c>
      <c r="H69" s="14">
        <v>96</v>
      </c>
      <c r="I69" s="23">
        <f t="shared" si="3"/>
        <v>192</v>
      </c>
    </row>
    <row r="70" ht="14.25" customHeight="1" spans="1:9">
      <c r="A70" s="15" t="s">
        <v>116</v>
      </c>
      <c r="B70" s="16">
        <v>45677</v>
      </c>
      <c r="C70" s="17" t="str">
        <f t="shared" si="4"/>
        <v>Monday</v>
      </c>
      <c r="D70" s="17" t="s">
        <v>52</v>
      </c>
      <c r="E70" s="17" t="s">
        <v>59</v>
      </c>
      <c r="F70" s="17" t="s">
        <v>43</v>
      </c>
      <c r="G70" s="17">
        <v>1</v>
      </c>
      <c r="H70" s="18">
        <v>685</v>
      </c>
      <c r="I70" s="24">
        <f t="shared" si="3"/>
        <v>685</v>
      </c>
    </row>
    <row r="71" ht="14.25" customHeight="1" spans="1:9">
      <c r="A71" s="11" t="s">
        <v>117</v>
      </c>
      <c r="B71" s="12">
        <v>45714</v>
      </c>
      <c r="C71" s="13" t="str">
        <f t="shared" si="4"/>
        <v>Wednesday</v>
      </c>
      <c r="D71" s="13" t="s">
        <v>52</v>
      </c>
      <c r="E71" s="13" t="s">
        <v>59</v>
      </c>
      <c r="F71" s="13" t="s">
        <v>43</v>
      </c>
      <c r="G71" s="13">
        <v>1</v>
      </c>
      <c r="H71" s="14">
        <v>44</v>
      </c>
      <c r="I71" s="23">
        <f t="shared" ref="I71:I102" si="5">G71*H71</f>
        <v>44</v>
      </c>
    </row>
    <row r="72" ht="14.25" customHeight="1" spans="1:9">
      <c r="A72" s="15" t="s">
        <v>118</v>
      </c>
      <c r="B72" s="16">
        <v>45670</v>
      </c>
      <c r="C72" s="17" t="str">
        <f t="shared" si="4"/>
        <v>Monday</v>
      </c>
      <c r="D72" s="17" t="s">
        <v>37</v>
      </c>
      <c r="E72" s="17" t="s">
        <v>38</v>
      </c>
      <c r="F72" s="17" t="s">
        <v>39</v>
      </c>
      <c r="G72" s="17">
        <v>2</v>
      </c>
      <c r="H72" s="18">
        <v>295</v>
      </c>
      <c r="I72" s="24">
        <f t="shared" si="5"/>
        <v>590</v>
      </c>
    </row>
    <row r="73" ht="14.25" customHeight="1" spans="1:9">
      <c r="A73" s="11" t="s">
        <v>119</v>
      </c>
      <c r="B73" s="12">
        <v>45704</v>
      </c>
      <c r="C73" s="13" t="str">
        <f t="shared" si="4"/>
        <v>Sunday</v>
      </c>
      <c r="D73" s="13" t="s">
        <v>56</v>
      </c>
      <c r="E73" s="13" t="s">
        <v>49</v>
      </c>
      <c r="F73" s="13" t="s">
        <v>35</v>
      </c>
      <c r="G73" s="13">
        <v>8</v>
      </c>
      <c r="H73" s="14">
        <v>292</v>
      </c>
      <c r="I73" s="23">
        <f t="shared" si="5"/>
        <v>2336</v>
      </c>
    </row>
    <row r="74" ht="14.25" customHeight="1" spans="1:9">
      <c r="A74" s="15" t="s">
        <v>120</v>
      </c>
      <c r="B74" s="16">
        <v>45702</v>
      </c>
      <c r="C74" s="17" t="str">
        <f t="shared" si="4"/>
        <v>Friday</v>
      </c>
      <c r="D74" s="17" t="s">
        <v>37</v>
      </c>
      <c r="E74" s="17" t="s">
        <v>42</v>
      </c>
      <c r="F74" s="17" t="s">
        <v>43</v>
      </c>
      <c r="G74" s="17">
        <v>3</v>
      </c>
      <c r="H74" s="18">
        <v>70</v>
      </c>
      <c r="I74" s="24">
        <f t="shared" si="5"/>
        <v>210</v>
      </c>
    </row>
    <row r="75" ht="14.25" customHeight="1" spans="1:9">
      <c r="A75" s="11" t="s">
        <v>121</v>
      </c>
      <c r="B75" s="12">
        <v>45661</v>
      </c>
      <c r="C75" s="13" t="str">
        <f t="shared" si="4"/>
        <v>Saturday</v>
      </c>
      <c r="D75" s="13" t="s">
        <v>52</v>
      </c>
      <c r="E75" s="13" t="s">
        <v>34</v>
      </c>
      <c r="F75" s="13" t="s">
        <v>35</v>
      </c>
      <c r="G75" s="13">
        <v>5</v>
      </c>
      <c r="H75" s="14">
        <v>656</v>
      </c>
      <c r="I75" s="23">
        <f t="shared" si="5"/>
        <v>3280</v>
      </c>
    </row>
    <row r="76" ht="14.25" customHeight="1" spans="1:9">
      <c r="A76" s="15" t="s">
        <v>122</v>
      </c>
      <c r="B76" s="16">
        <v>45659</v>
      </c>
      <c r="C76" s="17" t="str">
        <f t="shared" si="4"/>
        <v>Thursday</v>
      </c>
      <c r="D76" s="17" t="s">
        <v>52</v>
      </c>
      <c r="E76" s="17" t="s">
        <v>57</v>
      </c>
      <c r="F76" s="17" t="s">
        <v>43</v>
      </c>
      <c r="G76" s="17">
        <v>3</v>
      </c>
      <c r="H76" s="18">
        <v>452</v>
      </c>
      <c r="I76" s="24">
        <f t="shared" si="5"/>
        <v>1356</v>
      </c>
    </row>
    <row r="77" ht="14.25" customHeight="1" spans="1:9">
      <c r="A77" s="11" t="s">
        <v>123</v>
      </c>
      <c r="B77" s="12">
        <v>45671</v>
      </c>
      <c r="C77" s="13" t="str">
        <f t="shared" si="4"/>
        <v>Tuesday</v>
      </c>
      <c r="D77" s="13" t="s">
        <v>37</v>
      </c>
      <c r="E77" s="13" t="s">
        <v>42</v>
      </c>
      <c r="F77" s="13" t="s">
        <v>43</v>
      </c>
      <c r="G77" s="13">
        <v>5</v>
      </c>
      <c r="H77" s="14">
        <v>391</v>
      </c>
      <c r="I77" s="23">
        <f t="shared" si="5"/>
        <v>1955</v>
      </c>
    </row>
    <row r="78" ht="14.25" customHeight="1" spans="1:9">
      <c r="A78" s="15" t="s">
        <v>124</v>
      </c>
      <c r="B78" s="16">
        <v>45704</v>
      </c>
      <c r="C78" s="17" t="str">
        <f t="shared" si="4"/>
        <v>Sunday</v>
      </c>
      <c r="D78" s="17" t="s">
        <v>37</v>
      </c>
      <c r="E78" s="17" t="s">
        <v>42</v>
      </c>
      <c r="F78" s="17" t="s">
        <v>43</v>
      </c>
      <c r="G78" s="17">
        <v>2</v>
      </c>
      <c r="H78" s="18">
        <v>290</v>
      </c>
      <c r="I78" s="24">
        <f t="shared" si="5"/>
        <v>580</v>
      </c>
    </row>
    <row r="79" ht="14.25" customHeight="1" spans="1:9">
      <c r="A79" s="11" t="s">
        <v>125</v>
      </c>
      <c r="B79" s="12">
        <v>45667</v>
      </c>
      <c r="C79" s="13" t="str">
        <f t="shared" si="4"/>
        <v>Friday</v>
      </c>
      <c r="D79" s="13" t="s">
        <v>33</v>
      </c>
      <c r="E79" s="13" t="s">
        <v>34</v>
      </c>
      <c r="F79" s="13" t="s">
        <v>35</v>
      </c>
      <c r="G79" s="13">
        <v>6</v>
      </c>
      <c r="H79" s="14">
        <v>855</v>
      </c>
      <c r="I79" s="23">
        <f t="shared" si="5"/>
        <v>5130</v>
      </c>
    </row>
    <row r="80" ht="14.25" customHeight="1" spans="1:9">
      <c r="A80" s="15" t="s">
        <v>126</v>
      </c>
      <c r="B80" s="16">
        <v>45658</v>
      </c>
      <c r="C80" s="17" t="str">
        <f t="shared" si="4"/>
        <v>Wednesday</v>
      </c>
      <c r="D80" s="17" t="s">
        <v>33</v>
      </c>
      <c r="E80" s="17" t="s">
        <v>54</v>
      </c>
      <c r="F80" s="17" t="s">
        <v>43</v>
      </c>
      <c r="G80" s="17">
        <v>4</v>
      </c>
      <c r="H80" s="18">
        <v>295</v>
      </c>
      <c r="I80" s="24">
        <f t="shared" si="5"/>
        <v>1180</v>
      </c>
    </row>
    <row r="81" ht="14.25" customHeight="1" spans="1:9">
      <c r="A81" s="11" t="s">
        <v>127</v>
      </c>
      <c r="B81" s="12">
        <v>45715</v>
      </c>
      <c r="C81" s="13" t="str">
        <f t="shared" si="4"/>
        <v>Thursday</v>
      </c>
      <c r="D81" s="13" t="s">
        <v>56</v>
      </c>
      <c r="E81" s="13" t="s">
        <v>57</v>
      </c>
      <c r="F81" s="13" t="s">
        <v>43</v>
      </c>
      <c r="G81" s="13">
        <v>4</v>
      </c>
      <c r="H81" s="14">
        <v>824</v>
      </c>
      <c r="I81" s="23">
        <f t="shared" si="5"/>
        <v>3296</v>
      </c>
    </row>
    <row r="82" ht="14.25" customHeight="1" spans="1:9">
      <c r="A82" s="15" t="s">
        <v>128</v>
      </c>
      <c r="B82" s="16">
        <v>45683</v>
      </c>
      <c r="C82" s="17" t="str">
        <f t="shared" si="4"/>
        <v>Sunday</v>
      </c>
      <c r="D82" s="17" t="s">
        <v>52</v>
      </c>
      <c r="E82" s="17" t="s">
        <v>42</v>
      </c>
      <c r="F82" s="17" t="s">
        <v>43</v>
      </c>
      <c r="G82" s="17">
        <v>1</v>
      </c>
      <c r="H82" s="18">
        <v>715</v>
      </c>
      <c r="I82" s="24">
        <f t="shared" si="5"/>
        <v>715</v>
      </c>
    </row>
    <row r="83" ht="14.25" customHeight="1" spans="1:9">
      <c r="A83" s="11" t="s">
        <v>129</v>
      </c>
      <c r="B83" s="12">
        <v>45680</v>
      </c>
      <c r="C83" s="13" t="str">
        <f t="shared" si="4"/>
        <v>Thursday</v>
      </c>
      <c r="D83" s="13" t="s">
        <v>33</v>
      </c>
      <c r="E83" s="13" t="s">
        <v>54</v>
      </c>
      <c r="F83" s="13" t="s">
        <v>43</v>
      </c>
      <c r="G83" s="13">
        <v>5</v>
      </c>
      <c r="H83" s="14">
        <v>380</v>
      </c>
      <c r="I83" s="23">
        <f t="shared" si="5"/>
        <v>1900</v>
      </c>
    </row>
    <row r="84" ht="14.25" customHeight="1" spans="1:9">
      <c r="A84" s="15" t="s">
        <v>130</v>
      </c>
      <c r="B84" s="16">
        <v>45673</v>
      </c>
      <c r="C84" s="17" t="str">
        <f t="shared" si="4"/>
        <v>Thursday</v>
      </c>
      <c r="D84" s="17" t="s">
        <v>37</v>
      </c>
      <c r="E84" s="17" t="s">
        <v>59</v>
      </c>
      <c r="F84" s="17" t="s">
        <v>43</v>
      </c>
      <c r="G84" s="17">
        <v>9</v>
      </c>
      <c r="H84" s="18">
        <v>209</v>
      </c>
      <c r="I84" s="24">
        <f t="shared" si="5"/>
        <v>1881</v>
      </c>
    </row>
    <row r="85" ht="14.25" customHeight="1" spans="1:9">
      <c r="A85" s="11" t="s">
        <v>131</v>
      </c>
      <c r="B85" s="12">
        <v>45680</v>
      </c>
      <c r="C85" s="13" t="str">
        <f t="shared" si="4"/>
        <v>Thursday</v>
      </c>
      <c r="D85" s="13" t="s">
        <v>33</v>
      </c>
      <c r="E85" s="13" t="s">
        <v>42</v>
      </c>
      <c r="F85" s="13" t="s">
        <v>43</v>
      </c>
      <c r="G85" s="13">
        <v>10</v>
      </c>
      <c r="H85" s="14">
        <v>724</v>
      </c>
      <c r="I85" s="23">
        <f t="shared" si="5"/>
        <v>7240</v>
      </c>
    </row>
    <row r="86" ht="14.25" customHeight="1" spans="1:9">
      <c r="A86" s="15" t="s">
        <v>132</v>
      </c>
      <c r="B86" s="16">
        <v>45669</v>
      </c>
      <c r="C86" s="17" t="str">
        <f t="shared" si="4"/>
        <v>Sunday</v>
      </c>
      <c r="D86" s="17" t="s">
        <v>37</v>
      </c>
      <c r="E86" s="17" t="s">
        <v>57</v>
      </c>
      <c r="F86" s="17" t="s">
        <v>43</v>
      </c>
      <c r="G86" s="17">
        <v>6</v>
      </c>
      <c r="H86" s="18">
        <v>780</v>
      </c>
      <c r="I86" s="24">
        <f t="shared" si="5"/>
        <v>4680</v>
      </c>
    </row>
    <row r="87" ht="14.25" customHeight="1" spans="1:9">
      <c r="A87" s="11" t="s">
        <v>133</v>
      </c>
      <c r="B87" s="12">
        <v>45713</v>
      </c>
      <c r="C87" s="13" t="str">
        <f t="shared" si="4"/>
        <v>Tuesday</v>
      </c>
      <c r="D87" s="13" t="s">
        <v>37</v>
      </c>
      <c r="E87" s="13" t="s">
        <v>34</v>
      </c>
      <c r="F87" s="13" t="s">
        <v>35</v>
      </c>
      <c r="G87" s="13">
        <v>6</v>
      </c>
      <c r="H87" s="14">
        <v>239</v>
      </c>
      <c r="I87" s="23">
        <f t="shared" si="5"/>
        <v>1434</v>
      </c>
    </row>
    <row r="88" ht="14.25" customHeight="1" spans="1:9">
      <c r="A88" s="15" t="s">
        <v>134</v>
      </c>
      <c r="B88" s="16">
        <v>45682</v>
      </c>
      <c r="C88" s="17" t="str">
        <f t="shared" si="4"/>
        <v>Saturday</v>
      </c>
      <c r="D88" s="17" t="s">
        <v>33</v>
      </c>
      <c r="E88" s="17" t="s">
        <v>54</v>
      </c>
      <c r="F88" s="17" t="s">
        <v>43</v>
      </c>
      <c r="G88" s="17">
        <v>9</v>
      </c>
      <c r="H88" s="18">
        <v>297</v>
      </c>
      <c r="I88" s="24">
        <f t="shared" si="5"/>
        <v>2673</v>
      </c>
    </row>
    <row r="89" ht="14.25" customHeight="1" spans="1:9">
      <c r="A89" s="11" t="s">
        <v>135</v>
      </c>
      <c r="B89" s="12">
        <v>45665</v>
      </c>
      <c r="C89" s="13" t="str">
        <f t="shared" si="4"/>
        <v>Wednesday</v>
      </c>
      <c r="D89" s="13" t="s">
        <v>37</v>
      </c>
      <c r="E89" s="13" t="s">
        <v>59</v>
      </c>
      <c r="F89" s="13" t="s">
        <v>43</v>
      </c>
      <c r="G89" s="13">
        <v>7</v>
      </c>
      <c r="H89" s="14">
        <v>473</v>
      </c>
      <c r="I89" s="23">
        <f t="shared" si="5"/>
        <v>3311</v>
      </c>
    </row>
    <row r="90" ht="14.25" customHeight="1" spans="1:9">
      <c r="A90" s="15" t="s">
        <v>136</v>
      </c>
      <c r="B90" s="16">
        <v>45702</v>
      </c>
      <c r="C90" s="17" t="str">
        <f t="shared" si="4"/>
        <v>Friday</v>
      </c>
      <c r="D90" s="17" t="s">
        <v>52</v>
      </c>
      <c r="E90" s="17" t="s">
        <v>57</v>
      </c>
      <c r="F90" s="17" t="s">
        <v>43</v>
      </c>
      <c r="G90" s="17">
        <v>8</v>
      </c>
      <c r="H90" s="18">
        <v>899</v>
      </c>
      <c r="I90" s="24">
        <f t="shared" si="5"/>
        <v>7192</v>
      </c>
    </row>
    <row r="91" ht="14.25" customHeight="1" spans="1:9">
      <c r="A91" s="11" t="s">
        <v>137</v>
      </c>
      <c r="B91" s="12">
        <v>45661</v>
      </c>
      <c r="C91" s="13" t="str">
        <f t="shared" si="4"/>
        <v>Saturday</v>
      </c>
      <c r="D91" s="13" t="s">
        <v>56</v>
      </c>
      <c r="E91" s="13" t="s">
        <v>57</v>
      </c>
      <c r="F91" s="13" t="s">
        <v>43</v>
      </c>
      <c r="G91" s="13">
        <v>7</v>
      </c>
      <c r="H91" s="14">
        <v>71</v>
      </c>
      <c r="I91" s="23">
        <f t="shared" si="5"/>
        <v>497</v>
      </c>
    </row>
    <row r="92" ht="14.25" customHeight="1" spans="1:9">
      <c r="A92" s="15" t="s">
        <v>138</v>
      </c>
      <c r="B92" s="16">
        <v>45714</v>
      </c>
      <c r="C92" s="17" t="str">
        <f t="shared" si="4"/>
        <v>Wednesday</v>
      </c>
      <c r="D92" s="17" t="s">
        <v>56</v>
      </c>
      <c r="E92" s="17" t="s">
        <v>59</v>
      </c>
      <c r="F92" s="17" t="s">
        <v>43</v>
      </c>
      <c r="G92" s="17">
        <v>1</v>
      </c>
      <c r="H92" s="18">
        <v>684</v>
      </c>
      <c r="I92" s="24">
        <f t="shared" si="5"/>
        <v>684</v>
      </c>
    </row>
    <row r="93" ht="14.25" customHeight="1" spans="1:9">
      <c r="A93" s="11" t="s">
        <v>139</v>
      </c>
      <c r="B93" s="12">
        <v>45658</v>
      </c>
      <c r="C93" s="13" t="str">
        <f t="shared" si="4"/>
        <v>Wednesday</v>
      </c>
      <c r="D93" s="13" t="s">
        <v>37</v>
      </c>
      <c r="E93" s="13" t="s">
        <v>38</v>
      </c>
      <c r="F93" s="13" t="s">
        <v>39</v>
      </c>
      <c r="G93" s="13">
        <v>6</v>
      </c>
      <c r="H93" s="14">
        <v>284</v>
      </c>
      <c r="I93" s="23">
        <f t="shared" si="5"/>
        <v>1704</v>
      </c>
    </row>
    <row r="94" ht="14.25" customHeight="1" spans="1:9">
      <c r="A94" s="15" t="s">
        <v>140</v>
      </c>
      <c r="B94" s="16">
        <v>45693</v>
      </c>
      <c r="C94" s="17" t="str">
        <f t="shared" si="4"/>
        <v>Wednesday</v>
      </c>
      <c r="D94" s="17" t="s">
        <v>52</v>
      </c>
      <c r="E94" s="17" t="s">
        <v>59</v>
      </c>
      <c r="F94" s="17" t="s">
        <v>43</v>
      </c>
      <c r="G94" s="17">
        <v>2</v>
      </c>
      <c r="H94" s="18">
        <v>814</v>
      </c>
      <c r="I94" s="24">
        <f t="shared" si="5"/>
        <v>1628</v>
      </c>
    </row>
    <row r="95" ht="14.25" customHeight="1" spans="1:9">
      <c r="A95" s="11" t="s">
        <v>141</v>
      </c>
      <c r="B95" s="12">
        <v>45714</v>
      </c>
      <c r="C95" s="13" t="str">
        <f t="shared" si="4"/>
        <v>Wednesday</v>
      </c>
      <c r="D95" s="13" t="s">
        <v>56</v>
      </c>
      <c r="E95" s="13" t="s">
        <v>57</v>
      </c>
      <c r="F95" s="13" t="s">
        <v>43</v>
      </c>
      <c r="G95" s="13">
        <v>3</v>
      </c>
      <c r="H95" s="14">
        <v>750</v>
      </c>
      <c r="I95" s="23">
        <f t="shared" si="5"/>
        <v>2250</v>
      </c>
    </row>
    <row r="96" ht="14.25" customHeight="1" spans="1:9">
      <c r="A96" s="15" t="s">
        <v>142</v>
      </c>
      <c r="B96" s="16">
        <v>45706</v>
      </c>
      <c r="C96" s="17" t="str">
        <f t="shared" si="4"/>
        <v>Tuesday</v>
      </c>
      <c r="D96" s="17" t="s">
        <v>37</v>
      </c>
      <c r="E96" s="17" t="s">
        <v>38</v>
      </c>
      <c r="F96" s="17" t="s">
        <v>39</v>
      </c>
      <c r="G96" s="17">
        <v>6</v>
      </c>
      <c r="H96" s="18">
        <v>810</v>
      </c>
      <c r="I96" s="24">
        <f t="shared" si="5"/>
        <v>4860</v>
      </c>
    </row>
    <row r="97" ht="14.25" customHeight="1" spans="1:9">
      <c r="A97" s="11" t="s">
        <v>143</v>
      </c>
      <c r="B97" s="12">
        <v>45690</v>
      </c>
      <c r="C97" s="13" t="str">
        <f t="shared" si="4"/>
        <v>Sunday</v>
      </c>
      <c r="D97" s="13" t="s">
        <v>37</v>
      </c>
      <c r="E97" s="13" t="s">
        <v>38</v>
      </c>
      <c r="F97" s="13" t="s">
        <v>39</v>
      </c>
      <c r="G97" s="13">
        <v>1</v>
      </c>
      <c r="H97" s="14">
        <v>505</v>
      </c>
      <c r="I97" s="23">
        <f t="shared" si="5"/>
        <v>505</v>
      </c>
    </row>
    <row r="98" ht="14.25" customHeight="1" spans="1:9">
      <c r="A98" s="15" t="s">
        <v>144</v>
      </c>
      <c r="B98" s="16">
        <v>45676</v>
      </c>
      <c r="C98" s="17" t="str">
        <f t="shared" si="4"/>
        <v>Sunday</v>
      </c>
      <c r="D98" s="17" t="s">
        <v>56</v>
      </c>
      <c r="E98" s="17" t="s">
        <v>54</v>
      </c>
      <c r="F98" s="17" t="s">
        <v>43</v>
      </c>
      <c r="G98" s="17">
        <v>4</v>
      </c>
      <c r="H98" s="18">
        <v>257</v>
      </c>
      <c r="I98" s="24">
        <f t="shared" si="5"/>
        <v>1028</v>
      </c>
    </row>
    <row r="99" ht="14.25" customHeight="1" spans="1:9">
      <c r="A99" s="11" t="s">
        <v>145</v>
      </c>
      <c r="B99" s="12">
        <v>45690</v>
      </c>
      <c r="C99" s="13" t="str">
        <f t="shared" ref="C99:C130" si="6">TEXT(B99,"DDDD")</f>
        <v>Sunday</v>
      </c>
      <c r="D99" s="13" t="s">
        <v>52</v>
      </c>
      <c r="E99" s="13" t="s">
        <v>42</v>
      </c>
      <c r="F99" s="13" t="s">
        <v>43</v>
      </c>
      <c r="G99" s="13">
        <v>6</v>
      </c>
      <c r="H99" s="14">
        <v>300</v>
      </c>
      <c r="I99" s="23">
        <f t="shared" si="5"/>
        <v>1800</v>
      </c>
    </row>
    <row r="100" ht="14.25" customHeight="1" spans="1:9">
      <c r="A100" s="15" t="s">
        <v>146</v>
      </c>
      <c r="B100" s="16">
        <v>45673</v>
      </c>
      <c r="C100" s="17" t="str">
        <f t="shared" si="6"/>
        <v>Thursday</v>
      </c>
      <c r="D100" s="17" t="s">
        <v>52</v>
      </c>
      <c r="E100" s="17" t="s">
        <v>42</v>
      </c>
      <c r="F100" s="17" t="s">
        <v>43</v>
      </c>
      <c r="G100" s="17">
        <v>6</v>
      </c>
      <c r="H100" s="18">
        <v>65</v>
      </c>
      <c r="I100" s="24">
        <f t="shared" si="5"/>
        <v>390</v>
      </c>
    </row>
    <row r="101" ht="14.25" customHeight="1" spans="1:9">
      <c r="A101" s="11" t="s">
        <v>147</v>
      </c>
      <c r="B101" s="12">
        <v>45712</v>
      </c>
      <c r="C101" s="13" t="str">
        <f t="shared" si="6"/>
        <v>Monday</v>
      </c>
      <c r="D101" s="13" t="s">
        <v>52</v>
      </c>
      <c r="E101" s="13" t="s">
        <v>49</v>
      </c>
      <c r="F101" s="13" t="s">
        <v>35</v>
      </c>
      <c r="G101" s="13">
        <v>5</v>
      </c>
      <c r="H101" s="14">
        <v>340</v>
      </c>
      <c r="I101" s="23">
        <f t="shared" si="5"/>
        <v>1700</v>
      </c>
    </row>
    <row r="102" ht="14.25" customHeight="1" spans="1:9">
      <c r="A102" s="15" t="s">
        <v>148</v>
      </c>
      <c r="B102" s="16">
        <v>45702</v>
      </c>
      <c r="C102" s="17" t="str">
        <f t="shared" si="6"/>
        <v>Friday</v>
      </c>
      <c r="D102" s="17" t="s">
        <v>33</v>
      </c>
      <c r="E102" s="17" t="s">
        <v>57</v>
      </c>
      <c r="F102" s="17" t="s">
        <v>43</v>
      </c>
      <c r="G102" s="17">
        <v>6</v>
      </c>
      <c r="H102" s="18">
        <v>326</v>
      </c>
      <c r="I102" s="24">
        <f t="shared" si="5"/>
        <v>1956</v>
      </c>
    </row>
    <row r="103" ht="14.25" customHeight="1" spans="1:9">
      <c r="A103" s="11" t="s">
        <v>149</v>
      </c>
      <c r="B103" s="12">
        <v>45679</v>
      </c>
      <c r="C103" s="13" t="str">
        <f t="shared" si="6"/>
        <v>Wednesday</v>
      </c>
      <c r="D103" s="13" t="s">
        <v>52</v>
      </c>
      <c r="E103" s="13" t="s">
        <v>59</v>
      </c>
      <c r="F103" s="13" t="s">
        <v>43</v>
      </c>
      <c r="G103" s="13">
        <v>7</v>
      </c>
      <c r="H103" s="14">
        <v>146</v>
      </c>
      <c r="I103" s="23">
        <f t="shared" ref="I103:I134" si="7">G103*H103</f>
        <v>1022</v>
      </c>
    </row>
    <row r="104" ht="14.25" customHeight="1" spans="1:9">
      <c r="A104" s="15" t="s">
        <v>150</v>
      </c>
      <c r="B104" s="16">
        <v>45709</v>
      </c>
      <c r="C104" s="17" t="str">
        <f t="shared" si="6"/>
        <v>Friday</v>
      </c>
      <c r="D104" s="17" t="s">
        <v>33</v>
      </c>
      <c r="E104" s="17" t="s">
        <v>54</v>
      </c>
      <c r="F104" s="17" t="s">
        <v>43</v>
      </c>
      <c r="G104" s="17">
        <v>7</v>
      </c>
      <c r="H104" s="18">
        <v>251</v>
      </c>
      <c r="I104" s="24">
        <f t="shared" si="7"/>
        <v>1757</v>
      </c>
    </row>
    <row r="105" ht="14.25" customHeight="1" spans="1:9">
      <c r="A105" s="11" t="s">
        <v>151</v>
      </c>
      <c r="B105" s="12">
        <v>45717</v>
      </c>
      <c r="C105" s="13" t="str">
        <f t="shared" si="6"/>
        <v>Saturday</v>
      </c>
      <c r="D105" s="13" t="s">
        <v>52</v>
      </c>
      <c r="E105" s="13" t="s">
        <v>34</v>
      </c>
      <c r="F105" s="13" t="s">
        <v>35</v>
      </c>
      <c r="G105" s="13">
        <v>5</v>
      </c>
      <c r="H105" s="14">
        <v>303</v>
      </c>
      <c r="I105" s="23">
        <f t="shared" si="7"/>
        <v>1515</v>
      </c>
    </row>
    <row r="106" ht="14.25" customHeight="1" spans="1:9">
      <c r="A106" s="15" t="s">
        <v>152</v>
      </c>
      <c r="B106" s="16">
        <v>45715</v>
      </c>
      <c r="C106" s="17" t="str">
        <f t="shared" si="6"/>
        <v>Thursday</v>
      </c>
      <c r="D106" s="17" t="s">
        <v>37</v>
      </c>
      <c r="E106" s="17" t="s">
        <v>38</v>
      </c>
      <c r="F106" s="17" t="s">
        <v>39</v>
      </c>
      <c r="G106" s="17">
        <v>7</v>
      </c>
      <c r="H106" s="18">
        <v>396</v>
      </c>
      <c r="I106" s="24">
        <f t="shared" si="7"/>
        <v>2772</v>
      </c>
    </row>
    <row r="107" ht="14.25" customHeight="1" spans="1:9">
      <c r="A107" s="11" t="s">
        <v>153</v>
      </c>
      <c r="B107" s="12">
        <v>45715</v>
      </c>
      <c r="C107" s="13" t="str">
        <f t="shared" si="6"/>
        <v>Thursday</v>
      </c>
      <c r="D107" s="13" t="s">
        <v>37</v>
      </c>
      <c r="E107" s="13" t="s">
        <v>49</v>
      </c>
      <c r="F107" s="13" t="s">
        <v>35</v>
      </c>
      <c r="G107" s="13">
        <v>10</v>
      </c>
      <c r="H107" s="14">
        <v>46</v>
      </c>
      <c r="I107" s="23">
        <f t="shared" si="7"/>
        <v>460</v>
      </c>
    </row>
    <row r="108" ht="14.25" customHeight="1" spans="1:9">
      <c r="A108" s="15" t="s">
        <v>154</v>
      </c>
      <c r="B108" s="16">
        <v>45691</v>
      </c>
      <c r="C108" s="17" t="str">
        <f t="shared" si="6"/>
        <v>Monday</v>
      </c>
      <c r="D108" s="17" t="s">
        <v>52</v>
      </c>
      <c r="E108" s="17" t="s">
        <v>57</v>
      </c>
      <c r="F108" s="17" t="s">
        <v>43</v>
      </c>
      <c r="G108" s="17">
        <v>8</v>
      </c>
      <c r="H108" s="18">
        <v>873</v>
      </c>
      <c r="I108" s="24">
        <f t="shared" si="7"/>
        <v>6984</v>
      </c>
    </row>
    <row r="109" ht="14.25" customHeight="1" spans="1:9">
      <c r="A109" s="11" t="s">
        <v>155</v>
      </c>
      <c r="B109" s="12">
        <v>45679</v>
      </c>
      <c r="C109" s="13" t="str">
        <f t="shared" si="6"/>
        <v>Wednesday</v>
      </c>
      <c r="D109" s="13" t="s">
        <v>37</v>
      </c>
      <c r="E109" s="13" t="s">
        <v>38</v>
      </c>
      <c r="F109" s="13" t="s">
        <v>39</v>
      </c>
      <c r="G109" s="13">
        <v>8</v>
      </c>
      <c r="H109" s="14">
        <v>619</v>
      </c>
      <c r="I109" s="23">
        <f t="shared" si="7"/>
        <v>4952</v>
      </c>
    </row>
    <row r="110" ht="14.25" customHeight="1" spans="1:9">
      <c r="A110" s="15" t="s">
        <v>156</v>
      </c>
      <c r="B110" s="16">
        <v>45661</v>
      </c>
      <c r="C110" s="17" t="str">
        <f t="shared" si="6"/>
        <v>Saturday</v>
      </c>
      <c r="D110" s="17" t="s">
        <v>33</v>
      </c>
      <c r="E110" s="17" t="s">
        <v>38</v>
      </c>
      <c r="F110" s="17" t="s">
        <v>39</v>
      </c>
      <c r="G110" s="17">
        <v>6</v>
      </c>
      <c r="H110" s="18">
        <v>437</v>
      </c>
      <c r="I110" s="24">
        <f t="shared" si="7"/>
        <v>2622</v>
      </c>
    </row>
    <row r="111" ht="14.25" customHeight="1" spans="1:9">
      <c r="A111" s="11" t="s">
        <v>157</v>
      </c>
      <c r="B111" s="12">
        <v>45689</v>
      </c>
      <c r="C111" s="13" t="str">
        <f t="shared" si="6"/>
        <v>Saturday</v>
      </c>
      <c r="D111" s="13" t="s">
        <v>56</v>
      </c>
      <c r="E111" s="13" t="s">
        <v>57</v>
      </c>
      <c r="F111" s="13" t="s">
        <v>43</v>
      </c>
      <c r="G111" s="13">
        <v>9</v>
      </c>
      <c r="H111" s="14">
        <v>809</v>
      </c>
      <c r="I111" s="23">
        <f t="shared" si="7"/>
        <v>7281</v>
      </c>
    </row>
    <row r="112" ht="14.25" customHeight="1" spans="1:9">
      <c r="A112" s="15" t="s">
        <v>158</v>
      </c>
      <c r="B112" s="16">
        <v>45674</v>
      </c>
      <c r="C112" s="17" t="str">
        <f t="shared" si="6"/>
        <v>Friday</v>
      </c>
      <c r="D112" s="17" t="s">
        <v>56</v>
      </c>
      <c r="E112" s="17" t="s">
        <v>34</v>
      </c>
      <c r="F112" s="17" t="s">
        <v>35</v>
      </c>
      <c r="G112" s="17">
        <v>2</v>
      </c>
      <c r="H112" s="18">
        <v>551</v>
      </c>
      <c r="I112" s="24">
        <f t="shared" si="7"/>
        <v>1102</v>
      </c>
    </row>
    <row r="113" ht="14.25" customHeight="1" spans="1:9">
      <c r="A113" s="11" t="s">
        <v>159</v>
      </c>
      <c r="B113" s="12">
        <v>45661</v>
      </c>
      <c r="C113" s="13" t="str">
        <f t="shared" si="6"/>
        <v>Saturday</v>
      </c>
      <c r="D113" s="13" t="s">
        <v>56</v>
      </c>
      <c r="E113" s="13" t="s">
        <v>57</v>
      </c>
      <c r="F113" s="13" t="s">
        <v>43</v>
      </c>
      <c r="G113" s="13">
        <v>6</v>
      </c>
      <c r="H113" s="14">
        <v>362</v>
      </c>
      <c r="I113" s="23">
        <f t="shared" si="7"/>
        <v>2172</v>
      </c>
    </row>
    <row r="114" ht="14.25" customHeight="1" spans="1:9">
      <c r="A114" s="15" t="s">
        <v>160</v>
      </c>
      <c r="B114" s="16">
        <v>45677</v>
      </c>
      <c r="C114" s="17" t="str">
        <f t="shared" si="6"/>
        <v>Monday</v>
      </c>
      <c r="D114" s="17" t="s">
        <v>52</v>
      </c>
      <c r="E114" s="17" t="s">
        <v>42</v>
      </c>
      <c r="F114" s="17" t="s">
        <v>43</v>
      </c>
      <c r="G114" s="17">
        <v>5</v>
      </c>
      <c r="H114" s="18">
        <v>328</v>
      </c>
      <c r="I114" s="24">
        <f t="shared" si="7"/>
        <v>1640</v>
      </c>
    </row>
    <row r="115" ht="14.25" customHeight="1" spans="1:9">
      <c r="A115" s="11" t="s">
        <v>161</v>
      </c>
      <c r="B115" s="12">
        <v>45708</v>
      </c>
      <c r="C115" s="13" t="str">
        <f t="shared" si="6"/>
        <v>Thursday</v>
      </c>
      <c r="D115" s="13" t="s">
        <v>56</v>
      </c>
      <c r="E115" s="13" t="s">
        <v>59</v>
      </c>
      <c r="F115" s="13" t="s">
        <v>43</v>
      </c>
      <c r="G115" s="13">
        <v>6</v>
      </c>
      <c r="H115" s="14">
        <v>389</v>
      </c>
      <c r="I115" s="23">
        <f t="shared" si="7"/>
        <v>2334</v>
      </c>
    </row>
    <row r="116" ht="14.25" customHeight="1" spans="1:9">
      <c r="A116" s="15" t="s">
        <v>162</v>
      </c>
      <c r="B116" s="16">
        <v>45675</v>
      </c>
      <c r="C116" s="17" t="str">
        <f t="shared" si="6"/>
        <v>Saturday</v>
      </c>
      <c r="D116" s="17" t="s">
        <v>33</v>
      </c>
      <c r="E116" s="17" t="s">
        <v>42</v>
      </c>
      <c r="F116" s="17" t="s">
        <v>43</v>
      </c>
      <c r="G116" s="17">
        <v>7</v>
      </c>
      <c r="H116" s="18">
        <v>54</v>
      </c>
      <c r="I116" s="24">
        <f t="shared" si="7"/>
        <v>378</v>
      </c>
    </row>
    <row r="117" ht="14.25" customHeight="1" spans="1:9">
      <c r="A117" s="11" t="s">
        <v>163</v>
      </c>
      <c r="B117" s="12">
        <v>45701</v>
      </c>
      <c r="C117" s="13" t="str">
        <f t="shared" si="6"/>
        <v>Thursday</v>
      </c>
      <c r="D117" s="13" t="s">
        <v>33</v>
      </c>
      <c r="E117" s="13" t="s">
        <v>49</v>
      </c>
      <c r="F117" s="13" t="s">
        <v>35</v>
      </c>
      <c r="G117" s="13">
        <v>3</v>
      </c>
      <c r="H117" s="14">
        <v>345</v>
      </c>
      <c r="I117" s="23">
        <f t="shared" si="7"/>
        <v>1035</v>
      </c>
    </row>
    <row r="118" ht="14.25" customHeight="1" spans="1:9">
      <c r="A118" s="15" t="s">
        <v>164</v>
      </c>
      <c r="B118" s="16">
        <v>45704</v>
      </c>
      <c r="C118" s="17" t="str">
        <f t="shared" si="6"/>
        <v>Sunday</v>
      </c>
      <c r="D118" s="17" t="s">
        <v>37</v>
      </c>
      <c r="E118" s="17" t="s">
        <v>59</v>
      </c>
      <c r="F118" s="17" t="s">
        <v>43</v>
      </c>
      <c r="G118" s="17">
        <v>9</v>
      </c>
      <c r="H118" s="18">
        <v>863</v>
      </c>
      <c r="I118" s="24">
        <f t="shared" si="7"/>
        <v>7767</v>
      </c>
    </row>
    <row r="119" ht="14.25" customHeight="1" spans="1:9">
      <c r="A119" s="11" t="s">
        <v>165</v>
      </c>
      <c r="B119" s="12">
        <v>45711</v>
      </c>
      <c r="C119" s="13" t="str">
        <f t="shared" si="6"/>
        <v>Sunday</v>
      </c>
      <c r="D119" s="13" t="s">
        <v>56</v>
      </c>
      <c r="E119" s="13" t="s">
        <v>38</v>
      </c>
      <c r="F119" s="13" t="s">
        <v>39</v>
      </c>
      <c r="G119" s="13">
        <v>6</v>
      </c>
      <c r="H119" s="14">
        <v>311</v>
      </c>
      <c r="I119" s="23">
        <f t="shared" si="7"/>
        <v>1866</v>
      </c>
    </row>
    <row r="120" ht="14.25" customHeight="1" spans="1:9">
      <c r="A120" s="15" t="s">
        <v>166</v>
      </c>
      <c r="B120" s="16">
        <v>45672</v>
      </c>
      <c r="C120" s="17" t="str">
        <f t="shared" si="6"/>
        <v>Wednesday</v>
      </c>
      <c r="D120" s="17" t="s">
        <v>52</v>
      </c>
      <c r="E120" s="17" t="s">
        <v>38</v>
      </c>
      <c r="F120" s="17" t="s">
        <v>39</v>
      </c>
      <c r="G120" s="17">
        <v>9</v>
      </c>
      <c r="H120" s="18">
        <v>417</v>
      </c>
      <c r="I120" s="24">
        <f t="shared" si="7"/>
        <v>3753</v>
      </c>
    </row>
    <row r="121" ht="14.25" customHeight="1" spans="1:9">
      <c r="A121" s="11" t="s">
        <v>167</v>
      </c>
      <c r="B121" s="12">
        <v>45699</v>
      </c>
      <c r="C121" s="13" t="str">
        <f t="shared" si="6"/>
        <v>Tuesday</v>
      </c>
      <c r="D121" s="13" t="s">
        <v>56</v>
      </c>
      <c r="E121" s="13" t="s">
        <v>34</v>
      </c>
      <c r="F121" s="13" t="s">
        <v>35</v>
      </c>
      <c r="G121" s="13">
        <v>1</v>
      </c>
      <c r="H121" s="14">
        <v>747</v>
      </c>
      <c r="I121" s="23">
        <f t="shared" si="7"/>
        <v>747</v>
      </c>
    </row>
    <row r="122" ht="14.25" customHeight="1" spans="1:9">
      <c r="A122" s="15" t="s">
        <v>168</v>
      </c>
      <c r="B122" s="16">
        <v>45680</v>
      </c>
      <c r="C122" s="17" t="str">
        <f t="shared" si="6"/>
        <v>Thursday</v>
      </c>
      <c r="D122" s="17" t="s">
        <v>52</v>
      </c>
      <c r="E122" s="17" t="s">
        <v>54</v>
      </c>
      <c r="F122" s="17" t="s">
        <v>43</v>
      </c>
      <c r="G122" s="17">
        <v>10</v>
      </c>
      <c r="H122" s="18">
        <v>713</v>
      </c>
      <c r="I122" s="24">
        <f t="shared" si="7"/>
        <v>7130</v>
      </c>
    </row>
    <row r="123" ht="14.25" customHeight="1" spans="1:9">
      <c r="A123" s="11" t="s">
        <v>169</v>
      </c>
      <c r="B123" s="12">
        <v>45702</v>
      </c>
      <c r="C123" s="13" t="str">
        <f t="shared" si="6"/>
        <v>Friday</v>
      </c>
      <c r="D123" s="13" t="s">
        <v>33</v>
      </c>
      <c r="E123" s="13" t="s">
        <v>59</v>
      </c>
      <c r="F123" s="13" t="s">
        <v>43</v>
      </c>
      <c r="G123" s="13">
        <v>7</v>
      </c>
      <c r="H123" s="14">
        <v>280</v>
      </c>
      <c r="I123" s="23">
        <f t="shared" si="7"/>
        <v>1960</v>
      </c>
    </row>
    <row r="124" ht="14.25" customHeight="1" spans="1:9">
      <c r="A124" s="15" t="s">
        <v>170</v>
      </c>
      <c r="B124" s="16">
        <v>45704</v>
      </c>
      <c r="C124" s="17" t="str">
        <f t="shared" si="6"/>
        <v>Sunday</v>
      </c>
      <c r="D124" s="17" t="s">
        <v>52</v>
      </c>
      <c r="E124" s="17" t="s">
        <v>38</v>
      </c>
      <c r="F124" s="17" t="s">
        <v>39</v>
      </c>
      <c r="G124" s="17">
        <v>2</v>
      </c>
      <c r="H124" s="18">
        <v>241</v>
      </c>
      <c r="I124" s="24">
        <f t="shared" si="7"/>
        <v>482</v>
      </c>
    </row>
    <row r="125" ht="14.25" customHeight="1" spans="1:9">
      <c r="A125" s="11" t="s">
        <v>171</v>
      </c>
      <c r="B125" s="12">
        <v>45675</v>
      </c>
      <c r="C125" s="13" t="str">
        <f t="shared" si="6"/>
        <v>Saturday</v>
      </c>
      <c r="D125" s="13" t="s">
        <v>52</v>
      </c>
      <c r="E125" s="13" t="s">
        <v>59</v>
      </c>
      <c r="F125" s="13" t="s">
        <v>43</v>
      </c>
      <c r="G125" s="13">
        <v>10</v>
      </c>
      <c r="H125" s="14">
        <v>40</v>
      </c>
      <c r="I125" s="23">
        <f t="shared" si="7"/>
        <v>400</v>
      </c>
    </row>
    <row r="126" ht="14.25" customHeight="1" spans="1:9">
      <c r="A126" s="15" t="s">
        <v>172</v>
      </c>
      <c r="B126" s="16">
        <v>45687</v>
      </c>
      <c r="C126" s="17" t="str">
        <f t="shared" si="6"/>
        <v>Thursday</v>
      </c>
      <c r="D126" s="17" t="s">
        <v>37</v>
      </c>
      <c r="E126" s="17" t="s">
        <v>49</v>
      </c>
      <c r="F126" s="17" t="s">
        <v>35</v>
      </c>
      <c r="G126" s="17">
        <v>9</v>
      </c>
      <c r="H126" s="18">
        <v>99</v>
      </c>
      <c r="I126" s="24">
        <f t="shared" si="7"/>
        <v>891</v>
      </c>
    </row>
    <row r="127" ht="14.25" customHeight="1" spans="1:9">
      <c r="A127" s="11" t="s">
        <v>173</v>
      </c>
      <c r="B127" s="12">
        <v>45662</v>
      </c>
      <c r="C127" s="13" t="str">
        <f t="shared" si="6"/>
        <v>Sunday</v>
      </c>
      <c r="D127" s="13" t="s">
        <v>56</v>
      </c>
      <c r="E127" s="13" t="s">
        <v>38</v>
      </c>
      <c r="F127" s="13" t="s">
        <v>39</v>
      </c>
      <c r="G127" s="13">
        <v>9</v>
      </c>
      <c r="H127" s="14">
        <v>307</v>
      </c>
      <c r="I127" s="23">
        <f t="shared" si="7"/>
        <v>2763</v>
      </c>
    </row>
    <row r="128" ht="14.25" customHeight="1" spans="1:9">
      <c r="A128" s="15" t="s">
        <v>174</v>
      </c>
      <c r="B128" s="16">
        <v>45715</v>
      </c>
      <c r="C128" s="17" t="str">
        <f t="shared" si="6"/>
        <v>Thursday</v>
      </c>
      <c r="D128" s="17" t="s">
        <v>56</v>
      </c>
      <c r="E128" s="17" t="s">
        <v>57</v>
      </c>
      <c r="F128" s="17" t="s">
        <v>43</v>
      </c>
      <c r="G128" s="17">
        <v>3</v>
      </c>
      <c r="H128" s="18">
        <v>682</v>
      </c>
      <c r="I128" s="24">
        <f t="shared" si="7"/>
        <v>2046</v>
      </c>
    </row>
    <row r="129" ht="14.25" customHeight="1" spans="1:9">
      <c r="A129" s="11" t="s">
        <v>175</v>
      </c>
      <c r="B129" s="12">
        <v>45688</v>
      </c>
      <c r="C129" s="13" t="str">
        <f t="shared" si="6"/>
        <v>Friday</v>
      </c>
      <c r="D129" s="13" t="s">
        <v>52</v>
      </c>
      <c r="E129" s="13" t="s">
        <v>57</v>
      </c>
      <c r="F129" s="13" t="s">
        <v>43</v>
      </c>
      <c r="G129" s="13">
        <v>3</v>
      </c>
      <c r="H129" s="14">
        <v>544</v>
      </c>
      <c r="I129" s="23">
        <f t="shared" si="7"/>
        <v>1632</v>
      </c>
    </row>
    <row r="130" ht="14.25" customHeight="1" spans="1:9">
      <c r="A130" s="15" t="s">
        <v>176</v>
      </c>
      <c r="B130" s="16">
        <v>45687</v>
      </c>
      <c r="C130" s="17" t="str">
        <f t="shared" si="6"/>
        <v>Thursday</v>
      </c>
      <c r="D130" s="17" t="s">
        <v>33</v>
      </c>
      <c r="E130" s="17" t="s">
        <v>57</v>
      </c>
      <c r="F130" s="17" t="s">
        <v>43</v>
      </c>
      <c r="G130" s="17">
        <v>5</v>
      </c>
      <c r="H130" s="18">
        <v>141</v>
      </c>
      <c r="I130" s="24">
        <f t="shared" si="7"/>
        <v>705</v>
      </c>
    </row>
    <row r="131" ht="14.25" customHeight="1" spans="1:9">
      <c r="A131" s="11" t="s">
        <v>177</v>
      </c>
      <c r="B131" s="12">
        <v>45687</v>
      </c>
      <c r="C131" s="13" t="str">
        <f t="shared" ref="C131:C162" si="8">TEXT(B131,"DDDD")</f>
        <v>Thursday</v>
      </c>
      <c r="D131" s="13" t="s">
        <v>37</v>
      </c>
      <c r="E131" s="13" t="s">
        <v>49</v>
      </c>
      <c r="F131" s="13" t="s">
        <v>35</v>
      </c>
      <c r="G131" s="13">
        <v>2</v>
      </c>
      <c r="H131" s="14">
        <v>724</v>
      </c>
      <c r="I131" s="23">
        <f t="shared" si="7"/>
        <v>1448</v>
      </c>
    </row>
    <row r="132" ht="14.25" customHeight="1" spans="1:9">
      <c r="A132" s="15" t="s">
        <v>178</v>
      </c>
      <c r="B132" s="16">
        <v>45713</v>
      </c>
      <c r="C132" s="17" t="str">
        <f t="shared" si="8"/>
        <v>Tuesday</v>
      </c>
      <c r="D132" s="17" t="s">
        <v>56</v>
      </c>
      <c r="E132" s="17" t="s">
        <v>54</v>
      </c>
      <c r="F132" s="17" t="s">
        <v>43</v>
      </c>
      <c r="G132" s="17">
        <v>2</v>
      </c>
      <c r="H132" s="18">
        <v>793</v>
      </c>
      <c r="I132" s="24">
        <f t="shared" si="7"/>
        <v>1586</v>
      </c>
    </row>
    <row r="133" ht="14.25" customHeight="1" spans="1:9">
      <c r="A133" s="11" t="s">
        <v>179</v>
      </c>
      <c r="B133" s="12">
        <v>45688</v>
      </c>
      <c r="C133" s="13" t="str">
        <f t="shared" si="8"/>
        <v>Friday</v>
      </c>
      <c r="D133" s="13" t="s">
        <v>37</v>
      </c>
      <c r="E133" s="13" t="s">
        <v>59</v>
      </c>
      <c r="F133" s="13" t="s">
        <v>43</v>
      </c>
      <c r="G133" s="13">
        <v>2</v>
      </c>
      <c r="H133" s="14">
        <v>554</v>
      </c>
      <c r="I133" s="23">
        <f t="shared" si="7"/>
        <v>1108</v>
      </c>
    </row>
    <row r="134" ht="14.25" customHeight="1" spans="1:9">
      <c r="A134" s="15" t="s">
        <v>180</v>
      </c>
      <c r="B134" s="16">
        <v>45661</v>
      </c>
      <c r="C134" s="17" t="str">
        <f t="shared" si="8"/>
        <v>Saturday</v>
      </c>
      <c r="D134" s="17" t="s">
        <v>56</v>
      </c>
      <c r="E134" s="17" t="s">
        <v>59</v>
      </c>
      <c r="F134" s="17" t="s">
        <v>43</v>
      </c>
      <c r="G134" s="17">
        <v>4</v>
      </c>
      <c r="H134" s="18">
        <v>743</v>
      </c>
      <c r="I134" s="24">
        <f t="shared" si="7"/>
        <v>2972</v>
      </c>
    </row>
    <row r="135" ht="14.25" customHeight="1" spans="1:9">
      <c r="A135" s="11" t="s">
        <v>181</v>
      </c>
      <c r="B135" s="12">
        <v>45703</v>
      </c>
      <c r="C135" s="13" t="str">
        <f t="shared" si="8"/>
        <v>Saturday</v>
      </c>
      <c r="D135" s="13" t="s">
        <v>37</v>
      </c>
      <c r="E135" s="13" t="s">
        <v>42</v>
      </c>
      <c r="F135" s="13" t="s">
        <v>43</v>
      </c>
      <c r="G135" s="13">
        <v>3</v>
      </c>
      <c r="H135" s="14">
        <v>193</v>
      </c>
      <c r="I135" s="23">
        <f t="shared" ref="I135:I166" si="9">G135*H135</f>
        <v>579</v>
      </c>
    </row>
    <row r="136" ht="14.25" customHeight="1" spans="1:9">
      <c r="A136" s="15" t="s">
        <v>182</v>
      </c>
      <c r="B136" s="16">
        <v>45707</v>
      </c>
      <c r="C136" s="17" t="str">
        <f t="shared" si="8"/>
        <v>Wednesday</v>
      </c>
      <c r="D136" s="17" t="s">
        <v>33</v>
      </c>
      <c r="E136" s="17" t="s">
        <v>59</v>
      </c>
      <c r="F136" s="17" t="s">
        <v>43</v>
      </c>
      <c r="G136" s="17">
        <v>1</v>
      </c>
      <c r="H136" s="18">
        <v>851</v>
      </c>
      <c r="I136" s="24">
        <f t="shared" si="9"/>
        <v>851</v>
      </c>
    </row>
    <row r="137" ht="14.25" customHeight="1" spans="1:9">
      <c r="A137" s="11" t="s">
        <v>183</v>
      </c>
      <c r="B137" s="12">
        <v>45693</v>
      </c>
      <c r="C137" s="13" t="str">
        <f t="shared" si="8"/>
        <v>Wednesday</v>
      </c>
      <c r="D137" s="13" t="s">
        <v>33</v>
      </c>
      <c r="E137" s="13" t="s">
        <v>42</v>
      </c>
      <c r="F137" s="13" t="s">
        <v>43</v>
      </c>
      <c r="G137" s="13">
        <v>5</v>
      </c>
      <c r="H137" s="14">
        <v>448</v>
      </c>
      <c r="I137" s="23">
        <f t="shared" si="9"/>
        <v>2240</v>
      </c>
    </row>
    <row r="138" ht="14.25" customHeight="1" spans="1:9">
      <c r="A138" s="15" t="s">
        <v>184</v>
      </c>
      <c r="B138" s="16">
        <v>45665</v>
      </c>
      <c r="C138" s="17" t="str">
        <f t="shared" si="8"/>
        <v>Wednesday</v>
      </c>
      <c r="D138" s="17" t="s">
        <v>52</v>
      </c>
      <c r="E138" s="17" t="s">
        <v>42</v>
      </c>
      <c r="F138" s="17" t="s">
        <v>43</v>
      </c>
      <c r="G138" s="17">
        <v>9</v>
      </c>
      <c r="H138" s="18">
        <v>231</v>
      </c>
      <c r="I138" s="24">
        <f t="shared" si="9"/>
        <v>2079</v>
      </c>
    </row>
    <row r="139" ht="14.25" customHeight="1" spans="1:9">
      <c r="A139" s="11" t="s">
        <v>185</v>
      </c>
      <c r="B139" s="12">
        <v>45661</v>
      </c>
      <c r="C139" s="13" t="str">
        <f t="shared" si="8"/>
        <v>Saturday</v>
      </c>
      <c r="D139" s="13" t="s">
        <v>52</v>
      </c>
      <c r="E139" s="13" t="s">
        <v>42</v>
      </c>
      <c r="F139" s="13" t="s">
        <v>43</v>
      </c>
      <c r="G139" s="13">
        <v>8</v>
      </c>
      <c r="H139" s="14">
        <v>191</v>
      </c>
      <c r="I139" s="23">
        <f t="shared" si="9"/>
        <v>1528</v>
      </c>
    </row>
    <row r="140" ht="14.25" customHeight="1" spans="1:9">
      <c r="A140" s="15" t="s">
        <v>186</v>
      </c>
      <c r="B140" s="16">
        <v>45665</v>
      </c>
      <c r="C140" s="17" t="str">
        <f t="shared" si="8"/>
        <v>Wednesday</v>
      </c>
      <c r="D140" s="17" t="s">
        <v>56</v>
      </c>
      <c r="E140" s="17" t="s">
        <v>42</v>
      </c>
      <c r="F140" s="17" t="s">
        <v>43</v>
      </c>
      <c r="G140" s="17">
        <v>5</v>
      </c>
      <c r="H140" s="18">
        <v>479</v>
      </c>
      <c r="I140" s="24">
        <f t="shared" si="9"/>
        <v>2395</v>
      </c>
    </row>
    <row r="141" ht="14.25" customHeight="1" spans="1:9">
      <c r="A141" s="11" t="s">
        <v>187</v>
      </c>
      <c r="B141" s="12">
        <v>45701</v>
      </c>
      <c r="C141" s="13" t="str">
        <f t="shared" si="8"/>
        <v>Thursday</v>
      </c>
      <c r="D141" s="13" t="s">
        <v>52</v>
      </c>
      <c r="E141" s="13" t="s">
        <v>34</v>
      </c>
      <c r="F141" s="13" t="s">
        <v>35</v>
      </c>
      <c r="G141" s="13">
        <v>9</v>
      </c>
      <c r="H141" s="14">
        <v>308</v>
      </c>
      <c r="I141" s="23">
        <f t="shared" si="9"/>
        <v>2772</v>
      </c>
    </row>
    <row r="142" ht="14.25" customHeight="1" spans="1:9">
      <c r="A142" s="15" t="s">
        <v>188</v>
      </c>
      <c r="B142" s="16">
        <v>45664</v>
      </c>
      <c r="C142" s="17" t="str">
        <f t="shared" si="8"/>
        <v>Tuesday</v>
      </c>
      <c r="D142" s="17" t="s">
        <v>33</v>
      </c>
      <c r="E142" s="17" t="s">
        <v>34</v>
      </c>
      <c r="F142" s="17" t="s">
        <v>35</v>
      </c>
      <c r="G142" s="17">
        <v>3</v>
      </c>
      <c r="H142" s="18">
        <v>292</v>
      </c>
      <c r="I142" s="24">
        <f t="shared" si="9"/>
        <v>876</v>
      </c>
    </row>
    <row r="143" ht="14.25" customHeight="1" spans="1:9">
      <c r="A143" s="11" t="s">
        <v>189</v>
      </c>
      <c r="B143" s="12">
        <v>45660</v>
      </c>
      <c r="C143" s="13" t="str">
        <f t="shared" si="8"/>
        <v>Friday</v>
      </c>
      <c r="D143" s="13" t="s">
        <v>37</v>
      </c>
      <c r="E143" s="13" t="s">
        <v>34</v>
      </c>
      <c r="F143" s="13" t="s">
        <v>35</v>
      </c>
      <c r="G143" s="13">
        <v>5</v>
      </c>
      <c r="H143" s="14">
        <v>493</v>
      </c>
      <c r="I143" s="23">
        <f t="shared" si="9"/>
        <v>2465</v>
      </c>
    </row>
    <row r="144" ht="14.25" customHeight="1" spans="1:9">
      <c r="A144" s="15" t="s">
        <v>190</v>
      </c>
      <c r="B144" s="16">
        <v>45685</v>
      </c>
      <c r="C144" s="17" t="str">
        <f t="shared" si="8"/>
        <v>Tuesday</v>
      </c>
      <c r="D144" s="17" t="s">
        <v>52</v>
      </c>
      <c r="E144" s="17" t="s">
        <v>49</v>
      </c>
      <c r="F144" s="17" t="s">
        <v>35</v>
      </c>
      <c r="G144" s="17">
        <v>2</v>
      </c>
      <c r="H144" s="18">
        <v>645</v>
      </c>
      <c r="I144" s="24">
        <f t="shared" si="9"/>
        <v>1290</v>
      </c>
    </row>
    <row r="145" ht="14.25" customHeight="1" spans="1:9">
      <c r="A145" s="11" t="s">
        <v>191</v>
      </c>
      <c r="B145" s="12">
        <v>45701</v>
      </c>
      <c r="C145" s="13" t="str">
        <f t="shared" si="8"/>
        <v>Thursday</v>
      </c>
      <c r="D145" s="13" t="s">
        <v>52</v>
      </c>
      <c r="E145" s="13" t="s">
        <v>54</v>
      </c>
      <c r="F145" s="13" t="s">
        <v>43</v>
      </c>
      <c r="G145" s="13">
        <v>7</v>
      </c>
      <c r="H145" s="14">
        <v>851</v>
      </c>
      <c r="I145" s="23">
        <f t="shared" si="9"/>
        <v>5957</v>
      </c>
    </row>
    <row r="146" ht="14.25" customHeight="1" spans="1:9">
      <c r="A146" s="15" t="s">
        <v>192</v>
      </c>
      <c r="B146" s="16">
        <v>45699</v>
      </c>
      <c r="C146" s="17" t="str">
        <f t="shared" si="8"/>
        <v>Tuesday</v>
      </c>
      <c r="D146" s="17" t="s">
        <v>33</v>
      </c>
      <c r="E146" s="17" t="s">
        <v>38</v>
      </c>
      <c r="F146" s="17" t="s">
        <v>39</v>
      </c>
      <c r="G146" s="17">
        <v>8</v>
      </c>
      <c r="H146" s="18">
        <v>497</v>
      </c>
      <c r="I146" s="24">
        <f t="shared" si="9"/>
        <v>3976</v>
      </c>
    </row>
    <row r="147" ht="14.25" customHeight="1" spans="1:9">
      <c r="A147" s="11" t="s">
        <v>193</v>
      </c>
      <c r="B147" s="12">
        <v>45700</v>
      </c>
      <c r="C147" s="13" t="str">
        <f t="shared" si="8"/>
        <v>Wednesday</v>
      </c>
      <c r="D147" s="13" t="s">
        <v>33</v>
      </c>
      <c r="E147" s="13" t="s">
        <v>49</v>
      </c>
      <c r="F147" s="13" t="s">
        <v>35</v>
      </c>
      <c r="G147" s="13">
        <v>2</v>
      </c>
      <c r="H147" s="14">
        <v>722</v>
      </c>
      <c r="I147" s="23">
        <f t="shared" si="9"/>
        <v>1444</v>
      </c>
    </row>
    <row r="148" ht="14.25" customHeight="1" spans="1:9">
      <c r="A148" s="15" t="s">
        <v>194</v>
      </c>
      <c r="B148" s="16">
        <v>45659</v>
      </c>
      <c r="C148" s="17" t="str">
        <f t="shared" si="8"/>
        <v>Thursday</v>
      </c>
      <c r="D148" s="17" t="s">
        <v>37</v>
      </c>
      <c r="E148" s="17" t="s">
        <v>38</v>
      </c>
      <c r="F148" s="17" t="s">
        <v>39</v>
      </c>
      <c r="G148" s="17">
        <v>3</v>
      </c>
      <c r="H148" s="18">
        <v>332</v>
      </c>
      <c r="I148" s="24">
        <f t="shared" si="9"/>
        <v>996</v>
      </c>
    </row>
    <row r="149" ht="14.25" customHeight="1" spans="1:9">
      <c r="A149" s="11" t="s">
        <v>195</v>
      </c>
      <c r="B149" s="12">
        <v>45695</v>
      </c>
      <c r="C149" s="13" t="str">
        <f t="shared" si="8"/>
        <v>Friday</v>
      </c>
      <c r="D149" s="13" t="s">
        <v>52</v>
      </c>
      <c r="E149" s="13" t="s">
        <v>42</v>
      </c>
      <c r="F149" s="13" t="s">
        <v>43</v>
      </c>
      <c r="G149" s="13">
        <v>5</v>
      </c>
      <c r="H149" s="14">
        <v>90</v>
      </c>
      <c r="I149" s="23">
        <f t="shared" si="9"/>
        <v>450</v>
      </c>
    </row>
    <row r="150" ht="14.25" customHeight="1" spans="1:9">
      <c r="A150" s="15" t="s">
        <v>196</v>
      </c>
      <c r="B150" s="16">
        <v>45670</v>
      </c>
      <c r="C150" s="17" t="str">
        <f t="shared" si="8"/>
        <v>Monday</v>
      </c>
      <c r="D150" s="17" t="s">
        <v>56</v>
      </c>
      <c r="E150" s="17" t="s">
        <v>59</v>
      </c>
      <c r="F150" s="17" t="s">
        <v>43</v>
      </c>
      <c r="G150" s="17">
        <v>4</v>
      </c>
      <c r="H150" s="18">
        <v>328</v>
      </c>
      <c r="I150" s="24">
        <f t="shared" si="9"/>
        <v>1312</v>
      </c>
    </row>
    <row r="151" ht="14.25" customHeight="1" spans="1:9">
      <c r="A151" s="11" t="s">
        <v>197</v>
      </c>
      <c r="B151" s="12">
        <v>45713</v>
      </c>
      <c r="C151" s="13" t="str">
        <f t="shared" si="8"/>
        <v>Tuesday</v>
      </c>
      <c r="D151" s="13" t="s">
        <v>56</v>
      </c>
      <c r="E151" s="13" t="s">
        <v>38</v>
      </c>
      <c r="F151" s="13" t="s">
        <v>39</v>
      </c>
      <c r="G151" s="13">
        <v>4</v>
      </c>
      <c r="H151" s="14">
        <v>865</v>
      </c>
      <c r="I151" s="23">
        <f t="shared" si="9"/>
        <v>3460</v>
      </c>
    </row>
    <row r="152" ht="14.25" customHeight="1" spans="1:9">
      <c r="A152" s="15" t="s">
        <v>198</v>
      </c>
      <c r="B152" s="16">
        <v>45676</v>
      </c>
      <c r="C152" s="17" t="str">
        <f t="shared" si="8"/>
        <v>Sunday</v>
      </c>
      <c r="D152" s="17" t="s">
        <v>37</v>
      </c>
      <c r="E152" s="17" t="s">
        <v>59</v>
      </c>
      <c r="F152" s="17" t="s">
        <v>43</v>
      </c>
      <c r="G152" s="17">
        <v>9</v>
      </c>
      <c r="H152" s="18">
        <v>237</v>
      </c>
      <c r="I152" s="24">
        <f t="shared" si="9"/>
        <v>2133</v>
      </c>
    </row>
    <row r="153" ht="14.25" customHeight="1" spans="1:9">
      <c r="A153" s="11" t="s">
        <v>199</v>
      </c>
      <c r="B153" s="12">
        <v>45702</v>
      </c>
      <c r="C153" s="13" t="str">
        <f t="shared" si="8"/>
        <v>Friday</v>
      </c>
      <c r="D153" s="13" t="s">
        <v>33</v>
      </c>
      <c r="E153" s="13" t="s">
        <v>34</v>
      </c>
      <c r="F153" s="13" t="s">
        <v>35</v>
      </c>
      <c r="G153" s="13">
        <v>6</v>
      </c>
      <c r="H153" s="14">
        <v>438</v>
      </c>
      <c r="I153" s="23">
        <f t="shared" si="9"/>
        <v>2628</v>
      </c>
    </row>
    <row r="154" ht="14.25" customHeight="1" spans="1:9">
      <c r="A154" s="15" t="s">
        <v>200</v>
      </c>
      <c r="B154" s="16">
        <v>45715</v>
      </c>
      <c r="C154" s="17" t="str">
        <f t="shared" si="8"/>
        <v>Thursday</v>
      </c>
      <c r="D154" s="17" t="s">
        <v>33</v>
      </c>
      <c r="E154" s="17" t="s">
        <v>42</v>
      </c>
      <c r="F154" s="17" t="s">
        <v>43</v>
      </c>
      <c r="G154" s="17">
        <v>4</v>
      </c>
      <c r="H154" s="18">
        <v>528</v>
      </c>
      <c r="I154" s="24">
        <f t="shared" si="9"/>
        <v>2112</v>
      </c>
    </row>
    <row r="155" ht="14.25" customHeight="1" spans="1:9">
      <c r="A155" s="11" t="s">
        <v>201</v>
      </c>
      <c r="B155" s="12">
        <v>45684</v>
      </c>
      <c r="C155" s="13" t="str">
        <f t="shared" si="8"/>
        <v>Monday</v>
      </c>
      <c r="D155" s="13" t="s">
        <v>56</v>
      </c>
      <c r="E155" s="13" t="s">
        <v>34</v>
      </c>
      <c r="F155" s="13" t="s">
        <v>35</v>
      </c>
      <c r="G155" s="13">
        <v>7</v>
      </c>
      <c r="H155" s="14">
        <v>719</v>
      </c>
      <c r="I155" s="23">
        <f t="shared" si="9"/>
        <v>5033</v>
      </c>
    </row>
    <row r="156" ht="14.25" customHeight="1" spans="1:9">
      <c r="A156" s="15" t="s">
        <v>202</v>
      </c>
      <c r="B156" s="16">
        <v>45717</v>
      </c>
      <c r="C156" s="17" t="str">
        <f t="shared" si="8"/>
        <v>Saturday</v>
      </c>
      <c r="D156" s="17" t="s">
        <v>52</v>
      </c>
      <c r="E156" s="17" t="s">
        <v>38</v>
      </c>
      <c r="F156" s="17" t="s">
        <v>39</v>
      </c>
      <c r="G156" s="17">
        <v>5</v>
      </c>
      <c r="H156" s="18">
        <v>207</v>
      </c>
      <c r="I156" s="24">
        <f t="shared" si="9"/>
        <v>1035</v>
      </c>
    </row>
    <row r="157" ht="14.25" customHeight="1" spans="1:9">
      <c r="A157" s="11" t="s">
        <v>203</v>
      </c>
      <c r="B157" s="12">
        <v>45658</v>
      </c>
      <c r="C157" s="13" t="str">
        <f t="shared" si="8"/>
        <v>Wednesday</v>
      </c>
      <c r="D157" s="13" t="s">
        <v>33</v>
      </c>
      <c r="E157" s="13" t="s">
        <v>38</v>
      </c>
      <c r="F157" s="13" t="s">
        <v>39</v>
      </c>
      <c r="G157" s="13">
        <v>7</v>
      </c>
      <c r="H157" s="14">
        <v>271</v>
      </c>
      <c r="I157" s="23">
        <f t="shared" si="9"/>
        <v>1897</v>
      </c>
    </row>
    <row r="158" ht="14.25" customHeight="1" spans="1:9">
      <c r="A158" s="15" t="s">
        <v>204</v>
      </c>
      <c r="B158" s="16">
        <v>45666</v>
      </c>
      <c r="C158" s="17" t="str">
        <f t="shared" si="8"/>
        <v>Thursday</v>
      </c>
      <c r="D158" s="17" t="s">
        <v>56</v>
      </c>
      <c r="E158" s="17" t="s">
        <v>49</v>
      </c>
      <c r="F158" s="17" t="s">
        <v>35</v>
      </c>
      <c r="G158" s="17">
        <v>7</v>
      </c>
      <c r="H158" s="18">
        <v>717</v>
      </c>
      <c r="I158" s="24">
        <f t="shared" si="9"/>
        <v>5019</v>
      </c>
    </row>
    <row r="159" ht="14.25" customHeight="1" spans="1:9">
      <c r="A159" s="11" t="s">
        <v>205</v>
      </c>
      <c r="B159" s="12">
        <v>45715</v>
      </c>
      <c r="C159" s="13" t="str">
        <f t="shared" si="8"/>
        <v>Thursday</v>
      </c>
      <c r="D159" s="13" t="s">
        <v>56</v>
      </c>
      <c r="E159" s="13" t="s">
        <v>49</v>
      </c>
      <c r="F159" s="13" t="s">
        <v>35</v>
      </c>
      <c r="G159" s="13">
        <v>5</v>
      </c>
      <c r="H159" s="14">
        <v>145</v>
      </c>
      <c r="I159" s="23">
        <f t="shared" si="9"/>
        <v>725</v>
      </c>
    </row>
    <row r="160" ht="14.25" customHeight="1" spans="1:9">
      <c r="A160" s="15" t="s">
        <v>206</v>
      </c>
      <c r="B160" s="16">
        <v>45700</v>
      </c>
      <c r="C160" s="17" t="str">
        <f t="shared" si="8"/>
        <v>Wednesday</v>
      </c>
      <c r="D160" s="17" t="s">
        <v>56</v>
      </c>
      <c r="E160" s="17" t="s">
        <v>42</v>
      </c>
      <c r="F160" s="17" t="s">
        <v>43</v>
      </c>
      <c r="G160" s="17">
        <v>7</v>
      </c>
      <c r="H160" s="18">
        <v>234</v>
      </c>
      <c r="I160" s="24">
        <f t="shared" si="9"/>
        <v>1638</v>
      </c>
    </row>
    <row r="161" ht="14.25" customHeight="1" spans="1:9">
      <c r="A161" s="11" t="s">
        <v>207</v>
      </c>
      <c r="B161" s="12">
        <v>45705</v>
      </c>
      <c r="C161" s="13" t="str">
        <f t="shared" si="8"/>
        <v>Monday</v>
      </c>
      <c r="D161" s="13" t="s">
        <v>56</v>
      </c>
      <c r="E161" s="13" t="s">
        <v>57</v>
      </c>
      <c r="F161" s="13" t="s">
        <v>43</v>
      </c>
      <c r="G161" s="13">
        <v>6</v>
      </c>
      <c r="H161" s="14">
        <v>852</v>
      </c>
      <c r="I161" s="23">
        <f t="shared" si="9"/>
        <v>5112</v>
      </c>
    </row>
    <row r="162" ht="14.25" customHeight="1" spans="1:9">
      <c r="A162" s="15" t="s">
        <v>208</v>
      </c>
      <c r="B162" s="16">
        <v>45710</v>
      </c>
      <c r="C162" s="17" t="str">
        <f t="shared" si="8"/>
        <v>Saturday</v>
      </c>
      <c r="D162" s="17" t="s">
        <v>37</v>
      </c>
      <c r="E162" s="17" t="s">
        <v>38</v>
      </c>
      <c r="F162" s="17" t="s">
        <v>39</v>
      </c>
      <c r="G162" s="17">
        <v>10</v>
      </c>
      <c r="H162" s="18">
        <v>594</v>
      </c>
      <c r="I162" s="24">
        <f t="shared" si="9"/>
        <v>5940</v>
      </c>
    </row>
    <row r="163" ht="14.25" customHeight="1" spans="1:9">
      <c r="A163" s="11" t="s">
        <v>209</v>
      </c>
      <c r="B163" s="12">
        <v>45665</v>
      </c>
      <c r="C163" s="13" t="str">
        <f t="shared" ref="C163:C194" si="10">TEXT(B163,"DDDD")</f>
        <v>Wednesday</v>
      </c>
      <c r="D163" s="13" t="s">
        <v>37</v>
      </c>
      <c r="E163" s="13" t="s">
        <v>54</v>
      </c>
      <c r="F163" s="13" t="s">
        <v>43</v>
      </c>
      <c r="G163" s="13">
        <v>9</v>
      </c>
      <c r="H163" s="14">
        <v>264</v>
      </c>
      <c r="I163" s="23">
        <f t="shared" si="9"/>
        <v>2376</v>
      </c>
    </row>
    <row r="164" ht="14.25" customHeight="1" spans="1:9">
      <c r="A164" s="15" t="s">
        <v>210</v>
      </c>
      <c r="B164" s="16">
        <v>45675</v>
      </c>
      <c r="C164" s="17" t="str">
        <f t="shared" si="10"/>
        <v>Saturday</v>
      </c>
      <c r="D164" s="17" t="s">
        <v>37</v>
      </c>
      <c r="E164" s="17" t="s">
        <v>34</v>
      </c>
      <c r="F164" s="17" t="s">
        <v>35</v>
      </c>
      <c r="G164" s="17">
        <v>8</v>
      </c>
      <c r="H164" s="18">
        <v>593</v>
      </c>
      <c r="I164" s="24">
        <f t="shared" si="9"/>
        <v>4744</v>
      </c>
    </row>
    <row r="165" ht="14.25" customHeight="1" spans="1:9">
      <c r="A165" s="11" t="s">
        <v>211</v>
      </c>
      <c r="B165" s="12">
        <v>45675</v>
      </c>
      <c r="C165" s="13" t="str">
        <f t="shared" si="10"/>
        <v>Saturday</v>
      </c>
      <c r="D165" s="13" t="s">
        <v>37</v>
      </c>
      <c r="E165" s="13" t="s">
        <v>54</v>
      </c>
      <c r="F165" s="13" t="s">
        <v>43</v>
      </c>
      <c r="G165" s="13">
        <v>8</v>
      </c>
      <c r="H165" s="14">
        <v>692</v>
      </c>
      <c r="I165" s="23">
        <f t="shared" si="9"/>
        <v>5536</v>
      </c>
    </row>
    <row r="166" ht="14.25" customHeight="1" spans="1:9">
      <c r="A166" s="15" t="s">
        <v>212</v>
      </c>
      <c r="B166" s="16">
        <v>45692</v>
      </c>
      <c r="C166" s="17" t="str">
        <f t="shared" si="10"/>
        <v>Tuesday</v>
      </c>
      <c r="D166" s="17" t="s">
        <v>52</v>
      </c>
      <c r="E166" s="17" t="s">
        <v>49</v>
      </c>
      <c r="F166" s="17" t="s">
        <v>35</v>
      </c>
      <c r="G166" s="17">
        <v>6</v>
      </c>
      <c r="H166" s="18">
        <v>676</v>
      </c>
      <c r="I166" s="24">
        <f t="shared" si="9"/>
        <v>4056</v>
      </c>
    </row>
    <row r="167" ht="14.25" customHeight="1" spans="1:9">
      <c r="A167" s="11" t="s">
        <v>213</v>
      </c>
      <c r="B167" s="12">
        <v>45694</v>
      </c>
      <c r="C167" s="13" t="str">
        <f t="shared" si="10"/>
        <v>Thursday</v>
      </c>
      <c r="D167" s="13" t="s">
        <v>37</v>
      </c>
      <c r="E167" s="13" t="s">
        <v>49</v>
      </c>
      <c r="F167" s="13" t="s">
        <v>35</v>
      </c>
      <c r="G167" s="13">
        <v>1</v>
      </c>
      <c r="H167" s="14">
        <v>681</v>
      </c>
      <c r="I167" s="23">
        <f t="shared" ref="I167:I198" si="11">G167*H167</f>
        <v>681</v>
      </c>
    </row>
    <row r="168" ht="14.25" customHeight="1" spans="1:9">
      <c r="A168" s="15" t="s">
        <v>214</v>
      </c>
      <c r="B168" s="16">
        <v>45707</v>
      </c>
      <c r="C168" s="17" t="str">
        <f t="shared" si="10"/>
        <v>Wednesday</v>
      </c>
      <c r="D168" s="17" t="s">
        <v>33</v>
      </c>
      <c r="E168" s="17" t="s">
        <v>49</v>
      </c>
      <c r="F168" s="17" t="s">
        <v>35</v>
      </c>
      <c r="G168" s="17">
        <v>1</v>
      </c>
      <c r="H168" s="18">
        <v>590</v>
      </c>
      <c r="I168" s="24">
        <f t="shared" si="11"/>
        <v>590</v>
      </c>
    </row>
    <row r="169" ht="14.25" customHeight="1" spans="1:9">
      <c r="A169" s="11" t="s">
        <v>215</v>
      </c>
      <c r="B169" s="12">
        <v>45704</v>
      </c>
      <c r="C169" s="13" t="str">
        <f t="shared" si="10"/>
        <v>Sunday</v>
      </c>
      <c r="D169" s="13" t="s">
        <v>52</v>
      </c>
      <c r="E169" s="13" t="s">
        <v>57</v>
      </c>
      <c r="F169" s="13" t="s">
        <v>43</v>
      </c>
      <c r="G169" s="13">
        <v>9</v>
      </c>
      <c r="H169" s="14">
        <v>310</v>
      </c>
      <c r="I169" s="23">
        <f t="shared" si="11"/>
        <v>2790</v>
      </c>
    </row>
    <row r="170" ht="14.25" customHeight="1" spans="1:9">
      <c r="A170" s="15" t="s">
        <v>216</v>
      </c>
      <c r="B170" s="16">
        <v>45714</v>
      </c>
      <c r="C170" s="17" t="str">
        <f t="shared" si="10"/>
        <v>Wednesday</v>
      </c>
      <c r="D170" s="17" t="s">
        <v>52</v>
      </c>
      <c r="E170" s="17" t="s">
        <v>57</v>
      </c>
      <c r="F170" s="17" t="s">
        <v>43</v>
      </c>
      <c r="G170" s="17">
        <v>1</v>
      </c>
      <c r="H170" s="18">
        <v>787</v>
      </c>
      <c r="I170" s="24">
        <f t="shared" si="11"/>
        <v>787</v>
      </c>
    </row>
    <row r="171" ht="14.25" customHeight="1" spans="1:9">
      <c r="A171" s="11" t="s">
        <v>217</v>
      </c>
      <c r="B171" s="12">
        <v>45674</v>
      </c>
      <c r="C171" s="13" t="str">
        <f t="shared" si="10"/>
        <v>Friday</v>
      </c>
      <c r="D171" s="13" t="s">
        <v>56</v>
      </c>
      <c r="E171" s="13" t="s">
        <v>57</v>
      </c>
      <c r="F171" s="13" t="s">
        <v>43</v>
      </c>
      <c r="G171" s="13">
        <v>10</v>
      </c>
      <c r="H171" s="14">
        <v>123</v>
      </c>
      <c r="I171" s="23">
        <f t="shared" si="11"/>
        <v>1230</v>
      </c>
    </row>
    <row r="172" ht="14.25" customHeight="1" spans="1:9">
      <c r="A172" s="15" t="s">
        <v>218</v>
      </c>
      <c r="B172" s="16">
        <v>45703</v>
      </c>
      <c r="C172" s="17" t="str">
        <f t="shared" si="10"/>
        <v>Saturday</v>
      </c>
      <c r="D172" s="17" t="s">
        <v>52</v>
      </c>
      <c r="E172" s="17" t="s">
        <v>38</v>
      </c>
      <c r="F172" s="17" t="s">
        <v>39</v>
      </c>
      <c r="G172" s="17">
        <v>8</v>
      </c>
      <c r="H172" s="18">
        <v>37</v>
      </c>
      <c r="I172" s="24">
        <f t="shared" si="11"/>
        <v>296</v>
      </c>
    </row>
    <row r="173" ht="14.25" customHeight="1" spans="1:9">
      <c r="A173" s="11" t="s">
        <v>219</v>
      </c>
      <c r="B173" s="12">
        <v>45693</v>
      </c>
      <c r="C173" s="13" t="str">
        <f t="shared" si="10"/>
        <v>Wednesday</v>
      </c>
      <c r="D173" s="13" t="s">
        <v>56</v>
      </c>
      <c r="E173" s="13" t="s">
        <v>59</v>
      </c>
      <c r="F173" s="13" t="s">
        <v>43</v>
      </c>
      <c r="G173" s="13">
        <v>1</v>
      </c>
      <c r="H173" s="14">
        <v>139</v>
      </c>
      <c r="I173" s="23">
        <f t="shared" si="11"/>
        <v>139</v>
      </c>
    </row>
    <row r="174" ht="14.25" customHeight="1" spans="1:9">
      <c r="A174" s="15" t="s">
        <v>220</v>
      </c>
      <c r="B174" s="16">
        <v>45708</v>
      </c>
      <c r="C174" s="17" t="str">
        <f t="shared" si="10"/>
        <v>Thursday</v>
      </c>
      <c r="D174" s="17" t="s">
        <v>37</v>
      </c>
      <c r="E174" s="17" t="s">
        <v>34</v>
      </c>
      <c r="F174" s="17" t="s">
        <v>35</v>
      </c>
      <c r="G174" s="17">
        <v>10</v>
      </c>
      <c r="H174" s="18">
        <v>169</v>
      </c>
      <c r="I174" s="24">
        <f t="shared" si="11"/>
        <v>1690</v>
      </c>
    </row>
    <row r="175" ht="14.25" customHeight="1" spans="1:9">
      <c r="A175" s="11" t="s">
        <v>221</v>
      </c>
      <c r="B175" s="12">
        <v>45715</v>
      </c>
      <c r="C175" s="13" t="str">
        <f t="shared" si="10"/>
        <v>Thursday</v>
      </c>
      <c r="D175" s="13" t="s">
        <v>52</v>
      </c>
      <c r="E175" s="13" t="s">
        <v>57</v>
      </c>
      <c r="F175" s="13" t="s">
        <v>43</v>
      </c>
      <c r="G175" s="13">
        <v>1</v>
      </c>
      <c r="H175" s="14">
        <v>117</v>
      </c>
      <c r="I175" s="23">
        <f t="shared" si="11"/>
        <v>117</v>
      </c>
    </row>
    <row r="176" ht="14.25" customHeight="1" spans="1:9">
      <c r="A176" s="15" t="s">
        <v>222</v>
      </c>
      <c r="B176" s="16">
        <v>45659</v>
      </c>
      <c r="C176" s="17" t="str">
        <f t="shared" si="10"/>
        <v>Thursday</v>
      </c>
      <c r="D176" s="17" t="s">
        <v>33</v>
      </c>
      <c r="E176" s="17" t="s">
        <v>38</v>
      </c>
      <c r="F176" s="17" t="s">
        <v>39</v>
      </c>
      <c r="G176" s="17">
        <v>7</v>
      </c>
      <c r="H176" s="18">
        <v>371</v>
      </c>
      <c r="I176" s="24">
        <f t="shared" si="11"/>
        <v>2597</v>
      </c>
    </row>
    <row r="177" ht="14.25" customHeight="1" spans="1:9">
      <c r="A177" s="11" t="s">
        <v>223</v>
      </c>
      <c r="B177" s="12">
        <v>45685</v>
      </c>
      <c r="C177" s="13" t="str">
        <f t="shared" si="10"/>
        <v>Tuesday</v>
      </c>
      <c r="D177" s="13" t="s">
        <v>37</v>
      </c>
      <c r="E177" s="13" t="s">
        <v>38</v>
      </c>
      <c r="F177" s="13" t="s">
        <v>39</v>
      </c>
      <c r="G177" s="13">
        <v>5</v>
      </c>
      <c r="H177" s="14">
        <v>240</v>
      </c>
      <c r="I177" s="23">
        <f t="shared" si="11"/>
        <v>1200</v>
      </c>
    </row>
    <row r="178" ht="14.25" customHeight="1" spans="1:9">
      <c r="A178" s="15" t="s">
        <v>224</v>
      </c>
      <c r="B178" s="16">
        <v>45706</v>
      </c>
      <c r="C178" s="17" t="str">
        <f t="shared" si="10"/>
        <v>Tuesday</v>
      </c>
      <c r="D178" s="17" t="s">
        <v>52</v>
      </c>
      <c r="E178" s="17" t="s">
        <v>54</v>
      </c>
      <c r="F178" s="17" t="s">
        <v>43</v>
      </c>
      <c r="G178" s="17">
        <v>3</v>
      </c>
      <c r="H178" s="18">
        <v>748</v>
      </c>
      <c r="I178" s="24">
        <f t="shared" si="11"/>
        <v>2244</v>
      </c>
    </row>
    <row r="179" ht="14.25" customHeight="1" spans="1:9">
      <c r="A179" s="11" t="s">
        <v>225</v>
      </c>
      <c r="B179" s="12">
        <v>45689</v>
      </c>
      <c r="C179" s="13" t="str">
        <f t="shared" si="10"/>
        <v>Saturday</v>
      </c>
      <c r="D179" s="13" t="s">
        <v>56</v>
      </c>
      <c r="E179" s="13" t="s">
        <v>49</v>
      </c>
      <c r="F179" s="13" t="s">
        <v>35</v>
      </c>
      <c r="G179" s="13">
        <v>1</v>
      </c>
      <c r="H179" s="14">
        <v>798</v>
      </c>
      <c r="I179" s="23">
        <f t="shared" si="11"/>
        <v>798</v>
      </c>
    </row>
    <row r="180" ht="14.25" customHeight="1" spans="1:9">
      <c r="A180" s="15" t="s">
        <v>226</v>
      </c>
      <c r="B180" s="16">
        <v>45680</v>
      </c>
      <c r="C180" s="17" t="str">
        <f t="shared" si="10"/>
        <v>Thursday</v>
      </c>
      <c r="D180" s="17" t="s">
        <v>56</v>
      </c>
      <c r="E180" s="17" t="s">
        <v>34</v>
      </c>
      <c r="F180" s="17" t="s">
        <v>35</v>
      </c>
      <c r="G180" s="17">
        <v>10</v>
      </c>
      <c r="H180" s="18">
        <v>361</v>
      </c>
      <c r="I180" s="24">
        <f t="shared" si="11"/>
        <v>3610</v>
      </c>
    </row>
    <row r="181" ht="14.25" customHeight="1" spans="1:9">
      <c r="A181" s="11" t="s">
        <v>227</v>
      </c>
      <c r="B181" s="12">
        <v>45665</v>
      </c>
      <c r="C181" s="13" t="str">
        <f t="shared" si="10"/>
        <v>Wednesday</v>
      </c>
      <c r="D181" s="13" t="s">
        <v>37</v>
      </c>
      <c r="E181" s="13" t="s">
        <v>42</v>
      </c>
      <c r="F181" s="13" t="s">
        <v>43</v>
      </c>
      <c r="G181" s="13">
        <v>6</v>
      </c>
      <c r="H181" s="14">
        <v>68</v>
      </c>
      <c r="I181" s="23">
        <f t="shared" si="11"/>
        <v>408</v>
      </c>
    </row>
    <row r="182" ht="14.25" customHeight="1" spans="1:9">
      <c r="A182" s="15" t="s">
        <v>228</v>
      </c>
      <c r="B182" s="16">
        <v>45665</v>
      </c>
      <c r="C182" s="17" t="str">
        <f t="shared" si="10"/>
        <v>Wednesday</v>
      </c>
      <c r="D182" s="17" t="s">
        <v>56</v>
      </c>
      <c r="E182" s="17" t="s">
        <v>54</v>
      </c>
      <c r="F182" s="17" t="s">
        <v>43</v>
      </c>
      <c r="G182" s="17">
        <v>3</v>
      </c>
      <c r="H182" s="18">
        <v>672</v>
      </c>
      <c r="I182" s="24">
        <f t="shared" si="11"/>
        <v>2016</v>
      </c>
    </row>
    <row r="183" ht="14.25" customHeight="1" spans="1:9">
      <c r="A183" s="11" t="s">
        <v>229</v>
      </c>
      <c r="B183" s="12">
        <v>45711</v>
      </c>
      <c r="C183" s="13" t="str">
        <f t="shared" si="10"/>
        <v>Sunday</v>
      </c>
      <c r="D183" s="13" t="s">
        <v>52</v>
      </c>
      <c r="E183" s="13" t="s">
        <v>49</v>
      </c>
      <c r="F183" s="13" t="s">
        <v>35</v>
      </c>
      <c r="G183" s="13">
        <v>6</v>
      </c>
      <c r="H183" s="14">
        <v>309</v>
      </c>
      <c r="I183" s="23">
        <f t="shared" si="11"/>
        <v>1854</v>
      </c>
    </row>
    <row r="184" ht="14.25" customHeight="1" spans="1:9">
      <c r="A184" s="15" t="s">
        <v>230</v>
      </c>
      <c r="B184" s="16">
        <v>45698</v>
      </c>
      <c r="C184" s="17" t="str">
        <f t="shared" si="10"/>
        <v>Monday</v>
      </c>
      <c r="D184" s="17" t="s">
        <v>56</v>
      </c>
      <c r="E184" s="17" t="s">
        <v>59</v>
      </c>
      <c r="F184" s="17" t="s">
        <v>43</v>
      </c>
      <c r="G184" s="17">
        <v>8</v>
      </c>
      <c r="H184" s="18">
        <v>346</v>
      </c>
      <c r="I184" s="24">
        <f t="shared" si="11"/>
        <v>2768</v>
      </c>
    </row>
    <row r="185" ht="14.25" customHeight="1" spans="1:9">
      <c r="A185" s="11" t="s">
        <v>231</v>
      </c>
      <c r="B185" s="12">
        <v>45673</v>
      </c>
      <c r="C185" s="13" t="str">
        <f t="shared" si="10"/>
        <v>Thursday</v>
      </c>
      <c r="D185" s="13" t="s">
        <v>56</v>
      </c>
      <c r="E185" s="13" t="s">
        <v>59</v>
      </c>
      <c r="F185" s="13" t="s">
        <v>43</v>
      </c>
      <c r="G185" s="13">
        <v>2</v>
      </c>
      <c r="H185" s="14">
        <v>200</v>
      </c>
      <c r="I185" s="23">
        <f t="shared" si="11"/>
        <v>400</v>
      </c>
    </row>
    <row r="186" ht="14.25" customHeight="1" spans="1:9">
      <c r="A186" s="15" t="s">
        <v>232</v>
      </c>
      <c r="B186" s="16">
        <v>45668</v>
      </c>
      <c r="C186" s="17" t="str">
        <f t="shared" si="10"/>
        <v>Saturday</v>
      </c>
      <c r="D186" s="17" t="s">
        <v>52</v>
      </c>
      <c r="E186" s="17" t="s">
        <v>54</v>
      </c>
      <c r="F186" s="17" t="s">
        <v>43</v>
      </c>
      <c r="G186" s="17">
        <v>1</v>
      </c>
      <c r="H186" s="18">
        <v>818</v>
      </c>
      <c r="I186" s="24">
        <f t="shared" si="11"/>
        <v>818</v>
      </c>
    </row>
    <row r="187" ht="14.25" customHeight="1" spans="1:9">
      <c r="A187" s="11" t="s">
        <v>233</v>
      </c>
      <c r="B187" s="12">
        <v>45696</v>
      </c>
      <c r="C187" s="13" t="str">
        <f t="shared" si="10"/>
        <v>Saturday</v>
      </c>
      <c r="D187" s="13" t="s">
        <v>52</v>
      </c>
      <c r="E187" s="13" t="s">
        <v>38</v>
      </c>
      <c r="F187" s="13" t="s">
        <v>39</v>
      </c>
      <c r="G187" s="13">
        <v>4</v>
      </c>
      <c r="H187" s="14">
        <v>81</v>
      </c>
      <c r="I187" s="23">
        <f t="shared" si="11"/>
        <v>324</v>
      </c>
    </row>
    <row r="188" ht="14.25" customHeight="1" spans="1:9">
      <c r="A188" s="15" t="s">
        <v>234</v>
      </c>
      <c r="B188" s="16">
        <v>45697</v>
      </c>
      <c r="C188" s="17" t="str">
        <f t="shared" si="10"/>
        <v>Sunday</v>
      </c>
      <c r="D188" s="17" t="s">
        <v>52</v>
      </c>
      <c r="E188" s="17" t="s">
        <v>59</v>
      </c>
      <c r="F188" s="17" t="s">
        <v>43</v>
      </c>
      <c r="G188" s="17">
        <v>7</v>
      </c>
      <c r="H188" s="18">
        <v>399</v>
      </c>
      <c r="I188" s="24">
        <f t="shared" si="11"/>
        <v>2793</v>
      </c>
    </row>
    <row r="189" ht="14.25" customHeight="1" spans="1:9">
      <c r="A189" s="11" t="s">
        <v>235</v>
      </c>
      <c r="B189" s="12">
        <v>45689</v>
      </c>
      <c r="C189" s="13" t="str">
        <f t="shared" si="10"/>
        <v>Saturday</v>
      </c>
      <c r="D189" s="13" t="s">
        <v>37</v>
      </c>
      <c r="E189" s="13" t="s">
        <v>38</v>
      </c>
      <c r="F189" s="13" t="s">
        <v>39</v>
      </c>
      <c r="G189" s="13">
        <v>10</v>
      </c>
      <c r="H189" s="14">
        <v>890</v>
      </c>
      <c r="I189" s="23">
        <f t="shared" si="11"/>
        <v>8900</v>
      </c>
    </row>
    <row r="190" ht="14.25" customHeight="1" spans="1:9">
      <c r="A190" s="15" t="s">
        <v>236</v>
      </c>
      <c r="B190" s="16">
        <v>45705</v>
      </c>
      <c r="C190" s="17" t="str">
        <f t="shared" si="10"/>
        <v>Monday</v>
      </c>
      <c r="D190" s="17" t="s">
        <v>37</v>
      </c>
      <c r="E190" s="17" t="s">
        <v>42</v>
      </c>
      <c r="F190" s="17" t="s">
        <v>43</v>
      </c>
      <c r="G190" s="17">
        <v>5</v>
      </c>
      <c r="H190" s="18">
        <v>475</v>
      </c>
      <c r="I190" s="24">
        <f t="shared" si="11"/>
        <v>2375</v>
      </c>
    </row>
    <row r="191" ht="14.25" customHeight="1" spans="1:9">
      <c r="A191" s="11" t="s">
        <v>237</v>
      </c>
      <c r="B191" s="12">
        <v>45677</v>
      </c>
      <c r="C191" s="13" t="str">
        <f t="shared" si="10"/>
        <v>Monday</v>
      </c>
      <c r="D191" s="13" t="s">
        <v>56</v>
      </c>
      <c r="E191" s="13" t="s">
        <v>42</v>
      </c>
      <c r="F191" s="13" t="s">
        <v>43</v>
      </c>
      <c r="G191" s="13">
        <v>10</v>
      </c>
      <c r="H191" s="14">
        <v>564</v>
      </c>
      <c r="I191" s="23">
        <f t="shared" si="11"/>
        <v>5640</v>
      </c>
    </row>
    <row r="192" ht="14.25" customHeight="1" spans="1:9">
      <c r="A192" s="15" t="s">
        <v>238</v>
      </c>
      <c r="B192" s="16">
        <v>45701</v>
      </c>
      <c r="C192" s="17" t="str">
        <f t="shared" si="10"/>
        <v>Thursday</v>
      </c>
      <c r="D192" s="17" t="s">
        <v>52</v>
      </c>
      <c r="E192" s="17" t="s">
        <v>54</v>
      </c>
      <c r="F192" s="17" t="s">
        <v>43</v>
      </c>
      <c r="G192" s="17">
        <v>10</v>
      </c>
      <c r="H192" s="18">
        <v>580</v>
      </c>
      <c r="I192" s="24">
        <f t="shared" si="11"/>
        <v>5800</v>
      </c>
    </row>
    <row r="193" ht="14.25" customHeight="1" spans="1:9">
      <c r="A193" s="11" t="s">
        <v>239</v>
      </c>
      <c r="B193" s="12">
        <v>45691</v>
      </c>
      <c r="C193" s="13" t="str">
        <f t="shared" si="10"/>
        <v>Monday</v>
      </c>
      <c r="D193" s="13" t="s">
        <v>56</v>
      </c>
      <c r="E193" s="13" t="s">
        <v>59</v>
      </c>
      <c r="F193" s="13" t="s">
        <v>43</v>
      </c>
      <c r="G193" s="13">
        <v>4</v>
      </c>
      <c r="H193" s="14">
        <v>693</v>
      </c>
      <c r="I193" s="23">
        <f t="shared" si="11"/>
        <v>2772</v>
      </c>
    </row>
    <row r="194" ht="14.25" customHeight="1" spans="1:9">
      <c r="A194" s="15" t="s">
        <v>240</v>
      </c>
      <c r="B194" s="16">
        <v>45707</v>
      </c>
      <c r="C194" s="17" t="str">
        <f t="shared" si="10"/>
        <v>Wednesday</v>
      </c>
      <c r="D194" s="17" t="s">
        <v>52</v>
      </c>
      <c r="E194" s="17" t="s">
        <v>34</v>
      </c>
      <c r="F194" s="17" t="s">
        <v>35</v>
      </c>
      <c r="G194" s="17">
        <v>7</v>
      </c>
      <c r="H194" s="18">
        <v>233</v>
      </c>
      <c r="I194" s="24">
        <f t="shared" si="11"/>
        <v>1631</v>
      </c>
    </row>
    <row r="195" ht="14.25" customHeight="1" spans="1:9">
      <c r="A195" s="11" t="s">
        <v>241</v>
      </c>
      <c r="B195" s="12">
        <v>45669</v>
      </c>
      <c r="C195" s="13" t="str">
        <f>TEXT(B195,"DDDD")</f>
        <v>Sunday</v>
      </c>
      <c r="D195" s="13" t="s">
        <v>33</v>
      </c>
      <c r="E195" s="13" t="s">
        <v>57</v>
      </c>
      <c r="F195" s="13" t="s">
        <v>43</v>
      </c>
      <c r="G195" s="13">
        <v>2</v>
      </c>
      <c r="H195" s="14">
        <v>655</v>
      </c>
      <c r="I195" s="23">
        <f t="shared" si="11"/>
        <v>1310</v>
      </c>
    </row>
    <row r="196" ht="14.25" customHeight="1" spans="1:9">
      <c r="A196" s="15" t="s">
        <v>242</v>
      </c>
      <c r="B196" s="16">
        <v>45665</v>
      </c>
      <c r="C196" s="17" t="str">
        <f>TEXT(B196,"DDDD")</f>
        <v>Wednesday</v>
      </c>
      <c r="D196" s="17" t="s">
        <v>56</v>
      </c>
      <c r="E196" s="17" t="s">
        <v>57</v>
      </c>
      <c r="F196" s="17" t="s">
        <v>43</v>
      </c>
      <c r="G196" s="17">
        <v>5</v>
      </c>
      <c r="H196" s="18">
        <v>408</v>
      </c>
      <c r="I196" s="24">
        <f t="shared" si="11"/>
        <v>2040</v>
      </c>
    </row>
    <row r="197" ht="14.25" customHeight="1" spans="1:9">
      <c r="A197" s="11" t="s">
        <v>243</v>
      </c>
      <c r="B197" s="12">
        <v>45679</v>
      </c>
      <c r="C197" s="13" t="str">
        <f>TEXT(B197,"DDDD")</f>
        <v>Wednesday</v>
      </c>
      <c r="D197" s="13" t="s">
        <v>56</v>
      </c>
      <c r="E197" s="13" t="s">
        <v>59</v>
      </c>
      <c r="F197" s="13" t="s">
        <v>43</v>
      </c>
      <c r="G197" s="13">
        <v>10</v>
      </c>
      <c r="H197" s="14">
        <v>49</v>
      </c>
      <c r="I197" s="23">
        <f t="shared" si="11"/>
        <v>490</v>
      </c>
    </row>
    <row r="198" ht="14.25" customHeight="1" spans="1:9">
      <c r="A198" s="15" t="s">
        <v>244</v>
      </c>
      <c r="B198" s="16">
        <v>45672</v>
      </c>
      <c r="C198" s="17" t="str">
        <f>TEXT(B198,"DDDD")</f>
        <v>Wednesday</v>
      </c>
      <c r="D198" s="17" t="s">
        <v>33</v>
      </c>
      <c r="E198" s="17" t="s">
        <v>49</v>
      </c>
      <c r="F198" s="17" t="s">
        <v>35</v>
      </c>
      <c r="G198" s="17">
        <v>6</v>
      </c>
      <c r="H198" s="18">
        <v>125</v>
      </c>
      <c r="I198" s="24">
        <f t="shared" si="11"/>
        <v>750</v>
      </c>
    </row>
    <row r="199" ht="14.25" customHeight="1" spans="1:9">
      <c r="A199" s="11" t="s">
        <v>245</v>
      </c>
      <c r="B199" s="12">
        <v>45699</v>
      </c>
      <c r="C199" s="13" t="str">
        <f>TEXT(B199,"DDDD")</f>
        <v>Tuesday</v>
      </c>
      <c r="D199" s="13" t="s">
        <v>33</v>
      </c>
      <c r="E199" s="13" t="s">
        <v>34</v>
      </c>
      <c r="F199" s="13" t="s">
        <v>35</v>
      </c>
      <c r="G199" s="13">
        <v>4</v>
      </c>
      <c r="H199" s="14">
        <v>363</v>
      </c>
      <c r="I199" s="23">
        <f>G199*H199</f>
        <v>1452</v>
      </c>
    </row>
    <row r="200" ht="14.25" customHeight="1" spans="1:9">
      <c r="A200" s="15" t="s">
        <v>246</v>
      </c>
      <c r="B200" s="16">
        <v>45680</v>
      </c>
      <c r="C200" s="17" t="str">
        <f>TEXT(B200,"DDDD")</f>
        <v>Thursday</v>
      </c>
      <c r="D200" s="17" t="s">
        <v>37</v>
      </c>
      <c r="E200" s="17" t="s">
        <v>49</v>
      </c>
      <c r="F200" s="17" t="s">
        <v>35</v>
      </c>
      <c r="G200" s="17">
        <v>5</v>
      </c>
      <c r="H200" s="18">
        <v>611</v>
      </c>
      <c r="I200" s="24">
        <f>G200*H200</f>
        <v>3055</v>
      </c>
    </row>
    <row r="201" ht="14.25" customHeight="1" spans="1:9">
      <c r="A201" s="26" t="s">
        <v>247</v>
      </c>
      <c r="B201" s="27">
        <v>45658</v>
      </c>
      <c r="C201" s="28" t="str">
        <f>TEXT(B201,"DDDD")</f>
        <v>Wednesday</v>
      </c>
      <c r="D201" s="28" t="s">
        <v>52</v>
      </c>
      <c r="E201" s="28" t="s">
        <v>57</v>
      </c>
      <c r="F201" s="28" t="s">
        <v>43</v>
      </c>
      <c r="G201" s="28">
        <v>2</v>
      </c>
      <c r="H201" s="29">
        <v>636</v>
      </c>
      <c r="I201" s="30">
        <f>G201*H201</f>
        <v>1272</v>
      </c>
    </row>
  </sheetData>
  <pageMargins left="0.75" right="0.75" top="1" bottom="1" header="0" footer="0"/>
  <pageSetup paperSize="1" orientation="landscape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32"/>
  <sheetViews>
    <sheetView tabSelected="1" workbookViewId="0">
      <selection activeCell="I9" sqref="I9"/>
    </sheetView>
  </sheetViews>
  <sheetFormatPr defaultColWidth="8.72727272727273" defaultRowHeight="14.5" outlineLevelCol="1"/>
  <cols>
    <col min="1" max="1" width="11.6363636363636"/>
    <col min="2" max="3" width="17.5454545454545"/>
    <col min="5" max="5" width="11.6363636363636"/>
    <col min="6" max="6" width="17.5454545454545"/>
  </cols>
  <sheetData>
    <row r="3" spans="1:2">
      <c r="A3" t="s">
        <v>25</v>
      </c>
      <c r="B3" t="s">
        <v>248</v>
      </c>
    </row>
    <row r="4" spans="1:2">
      <c r="A4" t="s">
        <v>52</v>
      </c>
      <c r="B4">
        <v>116463</v>
      </c>
    </row>
    <row r="5" spans="1:2">
      <c r="A5" t="s">
        <v>37</v>
      </c>
      <c r="B5">
        <v>104808</v>
      </c>
    </row>
    <row r="6" spans="1:2">
      <c r="A6" t="s">
        <v>33</v>
      </c>
      <c r="B6">
        <v>108472</v>
      </c>
    </row>
    <row r="7" spans="1:2">
      <c r="A7" t="s">
        <v>56</v>
      </c>
      <c r="B7">
        <v>117043</v>
      </c>
    </row>
    <row r="8" spans="1:2">
      <c r="A8" t="s">
        <v>249</v>
      </c>
      <c r="B8">
        <v>446786</v>
      </c>
    </row>
    <row r="10" spans="1:2">
      <c r="A10" t="s">
        <v>27</v>
      </c>
      <c r="B10" t="s">
        <v>248</v>
      </c>
    </row>
    <row r="11" spans="1:2">
      <c r="A11" t="s">
        <v>43</v>
      </c>
      <c r="B11">
        <v>227030</v>
      </c>
    </row>
    <row r="12" spans="1:2">
      <c r="A12" t="s">
        <v>39</v>
      </c>
      <c r="B12">
        <v>90635</v>
      </c>
    </row>
    <row r="13" spans="1:2">
      <c r="A13" t="s">
        <v>35</v>
      </c>
      <c r="B13">
        <v>129121</v>
      </c>
    </row>
    <row r="14" spans="1:2">
      <c r="A14" t="s">
        <v>249</v>
      </c>
      <c r="B14">
        <v>446786</v>
      </c>
    </row>
    <row r="16" spans="1:2">
      <c r="A16" t="s">
        <v>26</v>
      </c>
      <c r="B16" t="s">
        <v>248</v>
      </c>
    </row>
    <row r="17" spans="1:2">
      <c r="A17" t="s">
        <v>38</v>
      </c>
      <c r="B17">
        <v>90635</v>
      </c>
    </row>
    <row r="18" spans="1:2">
      <c r="A18" t="s">
        <v>34</v>
      </c>
      <c r="B18">
        <v>78975</v>
      </c>
    </row>
    <row r="19" spans="1:2">
      <c r="A19" t="s">
        <v>57</v>
      </c>
      <c r="B19">
        <v>66018</v>
      </c>
    </row>
    <row r="20" spans="1:2">
      <c r="A20" t="s">
        <v>54</v>
      </c>
      <c r="B20">
        <v>64187</v>
      </c>
    </row>
    <row r="21" spans="1:2">
      <c r="A21" t="s">
        <v>42</v>
      </c>
      <c r="B21">
        <v>53108</v>
      </c>
    </row>
    <row r="22" spans="1:2">
      <c r="A22" t="s">
        <v>49</v>
      </c>
      <c r="B22">
        <v>50146</v>
      </c>
    </row>
    <row r="23" spans="1:2">
      <c r="A23" t="s">
        <v>59</v>
      </c>
      <c r="B23">
        <v>43717</v>
      </c>
    </row>
    <row r="24" spans="1:2">
      <c r="A24" t="s">
        <v>249</v>
      </c>
      <c r="B24">
        <v>446786</v>
      </c>
    </row>
    <row r="26" spans="1:2">
      <c r="A26" t="s">
        <v>26</v>
      </c>
      <c r="B26" t="s">
        <v>248</v>
      </c>
    </row>
    <row r="27" spans="1:2">
      <c r="A27" t="s">
        <v>34</v>
      </c>
      <c r="B27">
        <v>78975</v>
      </c>
    </row>
    <row r="28" spans="1:2">
      <c r="A28" t="s">
        <v>38</v>
      </c>
      <c r="B28">
        <v>90635</v>
      </c>
    </row>
    <row r="29" spans="1:2">
      <c r="A29" t="s">
        <v>42</v>
      </c>
      <c r="B29">
        <v>53108</v>
      </c>
    </row>
    <row r="30" spans="1:2">
      <c r="A30" t="s">
        <v>54</v>
      </c>
      <c r="B30">
        <v>64187</v>
      </c>
    </row>
    <row r="31" spans="1:2">
      <c r="A31" t="s">
        <v>57</v>
      </c>
      <c r="B31">
        <v>66018</v>
      </c>
    </row>
    <row r="32" spans="1:2">
      <c r="A32" t="s">
        <v>249</v>
      </c>
      <c r="B32">
        <v>352923</v>
      </c>
    </row>
  </sheetData>
  <pageMargins left="0.75" right="0.75" top="1" bottom="1" header="0.5" footer="0.5"/>
  <pageSetup paperSize="1" orientation="portrait"/>
  <headerFooter/>
  <drawing r:id="rId5"/>
  <extLst>
    <ext xmlns:x14="http://schemas.microsoft.com/office/spreadsheetml/2009/9/main" uri="{A8765BA9-456A-4dab-B4F3-ACF838C121DE}">
      <x14:slicerList>
        <x14:slicer r:id="rId6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Challenge_Instructions</vt:lpstr>
      <vt:lpstr>Sales_Data</vt:lpstr>
      <vt:lpstr>Pivot Table Showing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2026-03-15T14:12:00Z</dcterms:created>
  <dcterms:modified xsi:type="dcterms:W3CDTF">2026-03-22T10:03:36Z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4065055A515C4C9A897A55CD36969EC5_12</vt:lpwstr>
  </property>
  <property fmtid="{D5CDD505-2E9C-101B-9397-08002B2CF9AE}" pid="3" name="KSOProductBuildVer">
    <vt:lpwstr>2057-12.2.0.23197</vt:lpwstr>
  </property>
</Properties>
</file>